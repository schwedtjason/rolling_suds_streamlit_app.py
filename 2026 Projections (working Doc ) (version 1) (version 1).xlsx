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sonSchwedt\Downloads\TAM Project\"/>
    </mc:Choice>
  </mc:AlternateContent>
  <xr:revisionPtr revIDLastSave="0" documentId="8_{A443EFE2-03CE-47E6-A741-C470E17B18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6_Locations" sheetId="1" r:id="rId1"/>
    <sheet name="1% impact" sheetId="2" r:id="rId2"/>
    <sheet name="2025 YTD Payments 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1" i="1" l="1"/>
  <c r="X101" i="1"/>
  <c r="Y100" i="1"/>
  <c r="X100" i="1"/>
  <c r="Y99" i="1"/>
  <c r="X99" i="1"/>
  <c r="Y98" i="1"/>
  <c r="X98" i="1"/>
  <c r="Y97" i="1"/>
  <c r="X97" i="1"/>
  <c r="Y96" i="1"/>
  <c r="X96" i="1"/>
  <c r="Y95" i="1"/>
  <c r="X95" i="1"/>
  <c r="Y94" i="1"/>
  <c r="X94" i="1"/>
  <c r="U101" i="1"/>
  <c r="T101" i="1"/>
  <c r="U100" i="1"/>
  <c r="T100" i="1"/>
  <c r="U99" i="1"/>
  <c r="T99" i="1"/>
  <c r="U98" i="1"/>
  <c r="T98" i="1"/>
  <c r="U97" i="1"/>
  <c r="T97" i="1"/>
  <c r="U96" i="1"/>
  <c r="T96" i="1"/>
  <c r="U95" i="1"/>
  <c r="T95" i="1"/>
  <c r="U94" i="1"/>
  <c r="T94" i="1"/>
  <c r="Q101" i="1"/>
  <c r="P101" i="1"/>
  <c r="Q100" i="1"/>
  <c r="P100" i="1"/>
  <c r="Q99" i="1"/>
  <c r="P99" i="1"/>
  <c r="Q98" i="1"/>
  <c r="P98" i="1"/>
  <c r="Q97" i="1"/>
  <c r="P97" i="1"/>
  <c r="Q96" i="1"/>
  <c r="P96" i="1"/>
  <c r="Q95" i="1"/>
  <c r="P95" i="1"/>
  <c r="Q94" i="1"/>
  <c r="P94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AW101" i="1"/>
  <c r="AV101" i="1"/>
  <c r="AW100" i="1"/>
  <c r="AV100" i="1"/>
  <c r="AW99" i="1"/>
  <c r="AV99" i="1"/>
  <c r="AW98" i="1"/>
  <c r="AV98" i="1"/>
  <c r="AW97" i="1"/>
  <c r="AV97" i="1"/>
  <c r="AW96" i="1"/>
  <c r="AV96" i="1"/>
  <c r="AW95" i="1"/>
  <c r="AV95" i="1"/>
  <c r="AW94" i="1"/>
  <c r="AV94" i="1"/>
  <c r="AS101" i="1"/>
  <c r="AS100" i="1"/>
  <c r="AS99" i="1"/>
  <c r="AS98" i="1"/>
  <c r="AS97" i="1"/>
  <c r="AS96" i="1"/>
  <c r="AS95" i="1"/>
  <c r="AS94" i="1"/>
  <c r="AR101" i="1"/>
  <c r="AR100" i="1"/>
  <c r="AR99" i="1"/>
  <c r="AR98" i="1"/>
  <c r="AR97" i="1"/>
  <c r="AR96" i="1"/>
  <c r="AR95" i="1"/>
  <c r="AR94" i="1"/>
  <c r="AO101" i="1"/>
  <c r="AN101" i="1"/>
  <c r="AO100" i="1"/>
  <c r="AN100" i="1"/>
  <c r="AO99" i="1"/>
  <c r="AN99" i="1"/>
  <c r="AO98" i="1"/>
  <c r="AN98" i="1"/>
  <c r="AO97" i="1"/>
  <c r="AN97" i="1"/>
  <c r="AO96" i="1"/>
  <c r="AN96" i="1"/>
  <c r="AO95" i="1"/>
  <c r="BA95" i="1" s="1"/>
  <c r="AN95" i="1"/>
  <c r="AO94" i="1"/>
  <c r="AN94" i="1"/>
  <c r="AK101" i="1"/>
  <c r="AK100" i="1"/>
  <c r="AK99" i="1"/>
  <c r="AK98" i="1"/>
  <c r="AK97" i="1"/>
  <c r="AK96" i="1"/>
  <c r="AK95" i="1"/>
  <c r="AK94" i="1"/>
  <c r="AJ101" i="1"/>
  <c r="AJ100" i="1"/>
  <c r="AJ99" i="1"/>
  <c r="AJ98" i="1"/>
  <c r="AJ97" i="1"/>
  <c r="AJ96" i="1"/>
  <c r="AJ95" i="1"/>
  <c r="AJ94" i="1"/>
  <c r="AG101" i="1"/>
  <c r="AG100" i="1"/>
  <c r="AG99" i="1"/>
  <c r="AG98" i="1"/>
  <c r="AG97" i="1"/>
  <c r="AG96" i="1"/>
  <c r="AG95" i="1"/>
  <c r="AG94" i="1"/>
  <c r="AG93" i="1"/>
  <c r="AF101" i="1"/>
  <c r="AF100" i="1"/>
  <c r="AF99" i="1"/>
  <c r="AF98" i="1"/>
  <c r="AF97" i="1"/>
  <c r="AF96" i="1"/>
  <c r="AF95" i="1"/>
  <c r="AF94" i="1"/>
  <c r="AF93" i="1"/>
  <c r="AC101" i="1"/>
  <c r="AC100" i="1"/>
  <c r="AC99" i="1"/>
  <c r="AC98" i="1"/>
  <c r="AC97" i="1"/>
  <c r="AC96" i="1"/>
  <c r="AC95" i="1"/>
  <c r="AC94" i="1"/>
  <c r="AB101" i="1"/>
  <c r="AZ101" i="1" s="1"/>
  <c r="AB100" i="1"/>
  <c r="AB99" i="1"/>
  <c r="AZ99" i="1" s="1"/>
  <c r="AB98" i="1"/>
  <c r="AB97" i="1"/>
  <c r="AB96" i="1"/>
  <c r="AB95" i="1"/>
  <c r="AB94" i="1"/>
  <c r="AY98" i="1"/>
  <c r="BB98" i="1"/>
  <c r="AY99" i="1"/>
  <c r="BB99" i="1"/>
  <c r="AY100" i="1"/>
  <c r="BB100" i="1"/>
  <c r="AY101" i="1"/>
  <c r="BA101" i="1"/>
  <c r="BB101" i="1"/>
  <c r="AY95" i="1"/>
  <c r="BB95" i="1"/>
  <c r="AY96" i="1"/>
  <c r="BB96" i="1"/>
  <c r="AY94" i="1"/>
  <c r="BB94" i="1"/>
  <c r="BB131" i="1"/>
  <c r="BB123" i="1"/>
  <c r="BB107" i="1"/>
  <c r="BB102" i="1"/>
  <c r="BB54" i="1"/>
  <c r="M49" i="1"/>
  <c r="E154" i="1"/>
  <c r="H154" i="1" s="1"/>
  <c r="E153" i="1"/>
  <c r="F153" i="1" s="1"/>
  <c r="Y41" i="1"/>
  <c r="AZ100" i="1" l="1"/>
  <c r="BA100" i="1"/>
  <c r="AZ98" i="1"/>
  <c r="AZ94" i="1"/>
  <c r="AZ95" i="1"/>
  <c r="AZ96" i="1"/>
  <c r="BA99" i="1"/>
  <c r="BA96" i="1"/>
  <c r="BA98" i="1"/>
  <c r="BA94" i="1"/>
  <c r="H153" i="1"/>
  <c r="F154" i="1"/>
  <c r="U10" i="1" l="1"/>
  <c r="N154" i="1" l="1"/>
  <c r="N153" i="1"/>
  <c r="E146" i="1"/>
  <c r="E143" i="1"/>
  <c r="B58" i="3"/>
  <c r="C58" i="3"/>
  <c r="H87" i="3"/>
  <c r="G87" i="3"/>
  <c r="B142" i="2" a="1"/>
  <c r="B142" i="2" s="1"/>
  <c r="B141" i="2" a="1"/>
  <c r="B141" i="2" s="1"/>
  <c r="B140" i="2" a="1"/>
  <c r="B140" i="2" s="1"/>
  <c r="B139" i="2" a="1"/>
  <c r="B139" i="2" s="1"/>
  <c r="B138" i="2" a="1"/>
  <c r="B138" i="2" s="1"/>
  <c r="B137" i="2" a="1"/>
  <c r="B137" i="2" s="1"/>
  <c r="B136" i="2" a="1"/>
  <c r="B136" i="2" s="1"/>
  <c r="B135" i="2" a="1"/>
  <c r="B135" i="2" s="1"/>
  <c r="B133" i="2" a="1"/>
  <c r="B133" i="2" s="1"/>
  <c r="B134" i="2" a="1"/>
  <c r="B134" i="2" s="1"/>
  <c r="B132" i="2" a="1"/>
  <c r="B132" i="2" s="1"/>
  <c r="B128" i="2" a="1"/>
  <c r="B128" i="2" s="1"/>
  <c r="B127" i="2" a="1"/>
  <c r="B127" i="2" s="1"/>
  <c r="B126" i="2" a="1"/>
  <c r="B126" i="2" s="1"/>
  <c r="B125" i="2" a="1"/>
  <c r="B125" i="2" s="1"/>
  <c r="B124" i="2" a="1"/>
  <c r="B124" i="2" s="1"/>
  <c r="B123" i="2" a="1"/>
  <c r="B123" i="2" s="1"/>
  <c r="B122" i="2" a="1"/>
  <c r="B122" i="2" s="1"/>
  <c r="B121" i="2" a="1"/>
  <c r="B121" i="2" s="1"/>
  <c r="B120" i="2" a="1"/>
  <c r="B120" i="2" s="1"/>
  <c r="B119" i="2" a="1"/>
  <c r="B119" i="2" s="1"/>
  <c r="B118" i="2" a="1"/>
  <c r="B118" i="2" s="1"/>
  <c r="B117" i="2" a="1"/>
  <c r="B117" i="2" s="1"/>
  <c r="B116" i="2" a="1"/>
  <c r="B116" i="2" s="1"/>
  <c r="B115" i="2" a="1"/>
  <c r="B115" i="2" s="1"/>
  <c r="B114" i="2" a="1"/>
  <c r="B114" i="2" s="1"/>
  <c r="B113" i="2" a="1"/>
  <c r="B113" i="2" s="1"/>
  <c r="B112" i="2" a="1"/>
  <c r="B112" i="2" s="1"/>
  <c r="B111" i="2" a="1"/>
  <c r="B111" i="2" s="1"/>
  <c r="B110" i="2" a="1"/>
  <c r="B110" i="2" s="1"/>
  <c r="B109" i="2" a="1"/>
  <c r="B109" i="2" s="1"/>
  <c r="B108" i="2" a="1"/>
  <c r="B108" i="2" s="1"/>
  <c r="B107" i="2" a="1"/>
  <c r="B107" i="2" s="1"/>
  <c r="B106" i="2" a="1"/>
  <c r="B106" i="2" s="1"/>
  <c r="B105" i="2" a="1"/>
  <c r="B105" i="2" s="1"/>
  <c r="B104" i="2" a="1"/>
  <c r="B104" i="2" s="1"/>
  <c r="B103" i="2" a="1"/>
  <c r="B103" i="2" s="1"/>
  <c r="B102" i="2" a="1"/>
  <c r="B102" i="2" s="1"/>
  <c r="B101" i="2" a="1"/>
  <c r="B101" i="2" s="1"/>
  <c r="B100" i="2" a="1"/>
  <c r="B100" i="2" s="1"/>
  <c r="B99" i="2" a="1"/>
  <c r="B99" i="2" s="1"/>
  <c r="B98" i="2" a="1"/>
  <c r="B98" i="2" s="1"/>
  <c r="B97" i="2" a="1"/>
  <c r="B97" i="2" s="1"/>
  <c r="B96" i="2" a="1"/>
  <c r="B96" i="2" s="1"/>
  <c r="B95" i="2" a="1"/>
  <c r="B95" i="2" s="1"/>
  <c r="B94" i="2" a="1"/>
  <c r="B94" i="2" s="1"/>
  <c r="B93" i="2" a="1"/>
  <c r="B93" i="2" s="1"/>
  <c r="B92" i="2" a="1"/>
  <c r="B92" i="2" s="1"/>
  <c r="B91" i="2" a="1"/>
  <c r="B91" i="2" s="1"/>
  <c r="B90" i="2" a="1"/>
  <c r="B90" i="2" s="1"/>
  <c r="B89" i="2" a="1"/>
  <c r="B89" i="2" s="1"/>
  <c r="B88" i="2" a="1"/>
  <c r="B88" i="2" s="1"/>
  <c r="B87" i="2" a="1"/>
  <c r="B87" i="2" s="1"/>
  <c r="B86" i="2" a="1"/>
  <c r="B86" i="2" s="1"/>
  <c r="B85" i="2" a="1"/>
  <c r="B85" i="2" s="1"/>
  <c r="B84" i="2" a="1"/>
  <c r="B84" i="2" s="1"/>
  <c r="B83" i="2" a="1"/>
  <c r="B83" i="2" s="1"/>
  <c r="B82" i="2" a="1"/>
  <c r="B82" i="2" s="1"/>
  <c r="B81" i="2" a="1"/>
  <c r="B81" i="2" s="1"/>
  <c r="B80" i="2" a="1"/>
  <c r="B80" i="2" s="1"/>
  <c r="B79" i="2" a="1"/>
  <c r="B79" i="2" s="1"/>
  <c r="B78" i="2" a="1"/>
  <c r="B78" i="2" s="1"/>
  <c r="B77" i="2" a="1"/>
  <c r="B77" i="2" s="1"/>
  <c r="B76" i="2" a="1"/>
  <c r="B76" i="2" s="1"/>
  <c r="B75" i="2" a="1"/>
  <c r="B75" i="2" s="1"/>
  <c r="B74" i="2" a="1"/>
  <c r="B74" i="2" s="1"/>
  <c r="B73" i="2" a="1"/>
  <c r="B73" i="2" s="1"/>
  <c r="B72" i="2" a="1"/>
  <c r="B72" i="2" s="1"/>
  <c r="B71" i="2" a="1"/>
  <c r="B71" i="2" s="1"/>
  <c r="B70" i="2" a="1"/>
  <c r="B70" i="2" s="1"/>
  <c r="B69" i="2" a="1"/>
  <c r="B69" i="2" s="1"/>
  <c r="B68" i="2" a="1"/>
  <c r="B68" i="2" s="1"/>
  <c r="B67" i="2" a="1"/>
  <c r="B67" i="2" s="1"/>
  <c r="B66" i="2" a="1"/>
  <c r="B66" i="2" s="1"/>
  <c r="B65" i="2" a="1"/>
  <c r="B65" i="2" s="1"/>
  <c r="B64" i="2" a="1"/>
  <c r="B64" i="2" s="1"/>
  <c r="B63" i="2" a="1"/>
  <c r="B63" i="2" s="1"/>
  <c r="B62" i="2" a="1"/>
  <c r="B62" i="2" s="1"/>
  <c r="B61" i="2" a="1"/>
  <c r="B61" i="2" s="1"/>
  <c r="B60" i="2" a="1"/>
  <c r="B60" i="2" s="1"/>
  <c r="B59" i="2" a="1"/>
  <c r="B59" i="2" s="1"/>
  <c r="B58" i="2" a="1"/>
  <c r="B58" i="2" s="1"/>
  <c r="B57" i="2" a="1"/>
  <c r="B57" i="2" s="1"/>
  <c r="B56" i="2" a="1"/>
  <c r="B56" i="2" s="1"/>
  <c r="B55" i="2" a="1"/>
  <c r="B55" i="2" s="1"/>
  <c r="B54" i="2" a="1"/>
  <c r="B54" i="2" s="1"/>
  <c r="B53" i="2" a="1"/>
  <c r="B53" i="2" s="1"/>
  <c r="B52" i="2" a="1"/>
  <c r="B52" i="2" s="1"/>
  <c r="B51" i="2" a="1"/>
  <c r="B51" i="2" s="1"/>
  <c r="B50" i="2" a="1"/>
  <c r="B50" i="2" s="1"/>
  <c r="B49" i="2" a="1"/>
  <c r="B49" i="2" s="1"/>
  <c r="B48" i="2" a="1"/>
  <c r="B48" i="2" s="1"/>
  <c r="B47" i="2" a="1"/>
  <c r="B47" i="2" s="1"/>
  <c r="B46" i="2" a="1"/>
  <c r="B46" i="2" s="1"/>
  <c r="B45" i="2" a="1"/>
  <c r="B45" i="2" s="1"/>
  <c r="B44" i="2" a="1"/>
  <c r="B44" i="2" s="1"/>
  <c r="B43" i="2" a="1"/>
  <c r="B43" i="2" s="1"/>
  <c r="B42" i="2" a="1"/>
  <c r="B42" i="2" s="1"/>
  <c r="B41" i="2" a="1"/>
  <c r="B41" i="2" s="1"/>
  <c r="B40" i="2" a="1"/>
  <c r="B40" i="2" s="1"/>
  <c r="B39" i="2" a="1"/>
  <c r="B39" i="2" s="1"/>
  <c r="B38" i="2" a="1"/>
  <c r="B38" i="2" s="1"/>
  <c r="B37" i="2" a="1"/>
  <c r="B37" i="2" s="1"/>
  <c r="B36" i="2" a="1"/>
  <c r="B36" i="2" s="1"/>
  <c r="B35" i="2" a="1"/>
  <c r="B35" i="2" s="1"/>
  <c r="B34" i="2" a="1"/>
  <c r="B34" i="2" s="1"/>
  <c r="B33" i="2" a="1"/>
  <c r="B33" i="2" s="1"/>
  <c r="B32" i="2" a="1"/>
  <c r="B32" i="2" s="1"/>
  <c r="B31" i="2" a="1"/>
  <c r="B31" i="2" s="1"/>
  <c r="B30" i="2" a="1"/>
  <c r="B30" i="2" s="1"/>
  <c r="B29" i="2" a="1"/>
  <c r="B29" i="2" s="1"/>
  <c r="B28" i="2" a="1"/>
  <c r="B28" i="2" s="1"/>
  <c r="B27" i="2" a="1"/>
  <c r="B27" i="2" s="1"/>
  <c r="B26" i="2" a="1"/>
  <c r="B26" i="2" s="1"/>
  <c r="B25" i="2" a="1"/>
  <c r="B25" i="2" s="1"/>
  <c r="B24" i="2" a="1"/>
  <c r="B24" i="2" s="1"/>
  <c r="B23" i="2" a="1"/>
  <c r="B23" i="2" s="1"/>
  <c r="B22" i="2" a="1"/>
  <c r="B22" i="2" s="1"/>
  <c r="B21" i="2" a="1"/>
  <c r="B21" i="2" s="1"/>
  <c r="B20" i="2" a="1"/>
  <c r="B20" i="2" s="1"/>
  <c r="B19" i="2" a="1"/>
  <c r="B19" i="2" s="1"/>
  <c r="B18" i="2" a="1"/>
  <c r="B18" i="2" s="1"/>
  <c r="B17" i="2" a="1"/>
  <c r="B17" i="2" s="1"/>
  <c r="B16" i="2" a="1"/>
  <c r="B16" i="2" s="1"/>
  <c r="B15" i="2" a="1"/>
  <c r="B15" i="2" s="1"/>
  <c r="B14" i="2" a="1"/>
  <c r="B14" i="2" s="1"/>
  <c r="B13" i="2" a="1"/>
  <c r="B13" i="2" s="1"/>
  <c r="B12" i="2" a="1"/>
  <c r="B12" i="2" s="1"/>
  <c r="B11" i="2" a="1"/>
  <c r="B11" i="2" s="1"/>
  <c r="B10" i="2" a="1"/>
  <c r="B10" i="2" s="1"/>
  <c r="B9" i="2" a="1"/>
  <c r="B9" i="2" s="1"/>
  <c r="B8" i="2" a="1"/>
  <c r="B8" i="2" s="1"/>
  <c r="B7" i="2" a="1"/>
  <c r="B7" i="2" s="1"/>
  <c r="B6" i="2" a="1"/>
  <c r="B6" i="2" s="1"/>
  <c r="B5" i="2" a="1"/>
  <c r="B5" i="2" s="1"/>
  <c r="B4" i="2" a="1"/>
  <c r="B4" i="2" s="1"/>
  <c r="B3" i="2" a="1"/>
  <c r="B3" i="2" s="1"/>
  <c r="B2" i="2" a="1"/>
  <c r="B2" i="2" s="1"/>
  <c r="F143" i="1" l="1"/>
  <c r="H143" i="1"/>
  <c r="H146" i="1"/>
  <c r="F146" i="1"/>
  <c r="D155" i="1"/>
  <c r="E152" i="1"/>
  <c r="E151" i="1"/>
  <c r="E150" i="1"/>
  <c r="E149" i="1"/>
  <c r="E148" i="1"/>
  <c r="E147" i="1"/>
  <c r="E145" i="1"/>
  <c r="E144" i="1"/>
  <c r="AR41" i="1"/>
  <c r="M41" i="2" s="1" a="1"/>
  <c r="M41" i="2" s="1"/>
  <c r="AA41" i="2" s="1"/>
  <c r="L37" i="1"/>
  <c r="E37" i="2" s="1" a="1"/>
  <c r="E37" i="2" s="1"/>
  <c r="S37" i="2" s="1"/>
  <c r="M37" i="1"/>
  <c r="AY2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19" i="1"/>
  <c r="AY120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5" i="1"/>
  <c r="AY106" i="1"/>
  <c r="AY103" i="1"/>
  <c r="AY102" i="1"/>
  <c r="AY97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1" i="1"/>
  <c r="AY20" i="1"/>
  <c r="AY19" i="1"/>
  <c r="AY22" i="1"/>
  <c r="AY18" i="1"/>
  <c r="AY17" i="1"/>
  <c r="AY16" i="1"/>
  <c r="AY14" i="1"/>
  <c r="AY15" i="1"/>
  <c r="AY13" i="1"/>
  <c r="AY12" i="1"/>
  <c r="AY11" i="1"/>
  <c r="AY10" i="1"/>
  <c r="AY9" i="1"/>
  <c r="AY8" i="1"/>
  <c r="AY7" i="1"/>
  <c r="AY6" i="1"/>
  <c r="AY5" i="1"/>
  <c r="AY4" i="1"/>
  <c r="AY3" i="1"/>
  <c r="L119" i="1"/>
  <c r="E113" i="2" s="1" a="1"/>
  <c r="E113" i="2" s="1"/>
  <c r="S113" i="2" s="1"/>
  <c r="AW135" i="1"/>
  <c r="AW134" i="1"/>
  <c r="AW133" i="1"/>
  <c r="AW132" i="1"/>
  <c r="AW131" i="1"/>
  <c r="AW130" i="1"/>
  <c r="AW129" i="1"/>
  <c r="AW128" i="1"/>
  <c r="AW127" i="1"/>
  <c r="AW126" i="1"/>
  <c r="AW125" i="1"/>
  <c r="AW124" i="1"/>
  <c r="AW123" i="1"/>
  <c r="AW122" i="1"/>
  <c r="AW121" i="1"/>
  <c r="AW119" i="1"/>
  <c r="AW120" i="1"/>
  <c r="AW118" i="1"/>
  <c r="AW117" i="1"/>
  <c r="AW116" i="1"/>
  <c r="AW115" i="1"/>
  <c r="AW114" i="1"/>
  <c r="AW113" i="1"/>
  <c r="AW112" i="1"/>
  <c r="AW111" i="1"/>
  <c r="AW110" i="1"/>
  <c r="AW109" i="1"/>
  <c r="AW108" i="1"/>
  <c r="AW107" i="1"/>
  <c r="AW105" i="1"/>
  <c r="AW106" i="1"/>
  <c r="AW104" i="1"/>
  <c r="AW103" i="1"/>
  <c r="AW102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1" i="1"/>
  <c r="AW20" i="1"/>
  <c r="AW19" i="1"/>
  <c r="AW22" i="1"/>
  <c r="AW18" i="1"/>
  <c r="AW17" i="1"/>
  <c r="AW16" i="1"/>
  <c r="AW14" i="1"/>
  <c r="AW15" i="1"/>
  <c r="AW13" i="1"/>
  <c r="AW12" i="1"/>
  <c r="AW11" i="1"/>
  <c r="AW10" i="1"/>
  <c r="AW9" i="1"/>
  <c r="AW8" i="1"/>
  <c r="AW7" i="1"/>
  <c r="AW6" i="1"/>
  <c r="AW5" i="1"/>
  <c r="AW4" i="1"/>
  <c r="AW3" i="1"/>
  <c r="AW2" i="1"/>
  <c r="AS135" i="1"/>
  <c r="AS134" i="1"/>
  <c r="AS133" i="1"/>
  <c r="AS132" i="1"/>
  <c r="AS131" i="1"/>
  <c r="AS130" i="1"/>
  <c r="AS129" i="1"/>
  <c r="AS128" i="1"/>
  <c r="AS127" i="1"/>
  <c r="AS126" i="1"/>
  <c r="AS125" i="1"/>
  <c r="AS124" i="1"/>
  <c r="AS123" i="1"/>
  <c r="AS122" i="1"/>
  <c r="AS121" i="1"/>
  <c r="AS119" i="1"/>
  <c r="AS120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5" i="1"/>
  <c r="AS106" i="1"/>
  <c r="AS104" i="1"/>
  <c r="AS103" i="1"/>
  <c r="AS102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1" i="1"/>
  <c r="AS20" i="1"/>
  <c r="AS19" i="1"/>
  <c r="AS22" i="1"/>
  <c r="AS18" i="1"/>
  <c r="AS17" i="1"/>
  <c r="AS16" i="1"/>
  <c r="AS14" i="1"/>
  <c r="AS15" i="1"/>
  <c r="AS13" i="1"/>
  <c r="AS12" i="1"/>
  <c r="AS11" i="1"/>
  <c r="AS10" i="1"/>
  <c r="AS9" i="1"/>
  <c r="AS8" i="1"/>
  <c r="AS7" i="1"/>
  <c r="AS6" i="1"/>
  <c r="AS5" i="1"/>
  <c r="AS4" i="1"/>
  <c r="AS3" i="1"/>
  <c r="AS2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19" i="1"/>
  <c r="AO120" i="1"/>
  <c r="AO118" i="1"/>
  <c r="AO117" i="1"/>
  <c r="AO116" i="1"/>
  <c r="AO115" i="1"/>
  <c r="AO114" i="1"/>
  <c r="AO113" i="1"/>
  <c r="AO112" i="1"/>
  <c r="AO111" i="1"/>
  <c r="AO110" i="1"/>
  <c r="AO109" i="1"/>
  <c r="AO108" i="1"/>
  <c r="AO107" i="1"/>
  <c r="AO105" i="1"/>
  <c r="AO106" i="1"/>
  <c r="AO104" i="1"/>
  <c r="AO103" i="1"/>
  <c r="AO102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1" i="1"/>
  <c r="AO20" i="1"/>
  <c r="AO19" i="1"/>
  <c r="AO22" i="1"/>
  <c r="AO18" i="1"/>
  <c r="AO17" i="1"/>
  <c r="AO16" i="1"/>
  <c r="AO14" i="1"/>
  <c r="AO15" i="1"/>
  <c r="AO13" i="1"/>
  <c r="AO12" i="1"/>
  <c r="AO11" i="1"/>
  <c r="AO10" i="1"/>
  <c r="AO9" i="1"/>
  <c r="AO8" i="1"/>
  <c r="AO7" i="1"/>
  <c r="AO6" i="1"/>
  <c r="AO5" i="1"/>
  <c r="AO4" i="1"/>
  <c r="AO3" i="1"/>
  <c r="AO2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19" i="1"/>
  <c r="AK120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5" i="1"/>
  <c r="AK106" i="1"/>
  <c r="AK104" i="1"/>
  <c r="AK103" i="1"/>
  <c r="AK102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1" i="1"/>
  <c r="AK20" i="1"/>
  <c r="AK19" i="1"/>
  <c r="AK22" i="1"/>
  <c r="AK18" i="1"/>
  <c r="AK17" i="1"/>
  <c r="AK16" i="1"/>
  <c r="AK14" i="1"/>
  <c r="AK15" i="1"/>
  <c r="AK13" i="1"/>
  <c r="AK12" i="1"/>
  <c r="AK11" i="1"/>
  <c r="AK10" i="1"/>
  <c r="AK9" i="1"/>
  <c r="AK8" i="1"/>
  <c r="AK7" i="1"/>
  <c r="AK6" i="1"/>
  <c r="AK5" i="1"/>
  <c r="AK4" i="1"/>
  <c r="AK3" i="1"/>
  <c r="AK2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19" i="1"/>
  <c r="AG120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5" i="1"/>
  <c r="AG106" i="1"/>
  <c r="AG104" i="1"/>
  <c r="AG103" i="1"/>
  <c r="AG102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1" i="1"/>
  <c r="AG20" i="1"/>
  <c r="AG19" i="1"/>
  <c r="AG22" i="1"/>
  <c r="AG18" i="1"/>
  <c r="AG17" i="1"/>
  <c r="AG16" i="1"/>
  <c r="AG14" i="1"/>
  <c r="AG15" i="1"/>
  <c r="AG13" i="1"/>
  <c r="AG12" i="1"/>
  <c r="AG11" i="1"/>
  <c r="AG10" i="1"/>
  <c r="AG9" i="1"/>
  <c r="AG8" i="1"/>
  <c r="AG7" i="1"/>
  <c r="AG6" i="1"/>
  <c r="AG5" i="1"/>
  <c r="AG4" i="1"/>
  <c r="AG3" i="1"/>
  <c r="AG2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19" i="1"/>
  <c r="AC120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5" i="1"/>
  <c r="AC106" i="1"/>
  <c r="AC104" i="1"/>
  <c r="AC103" i="1"/>
  <c r="AC102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1" i="1"/>
  <c r="AC20" i="1"/>
  <c r="AC19" i="1"/>
  <c r="AC22" i="1"/>
  <c r="AC18" i="1"/>
  <c r="AC17" i="1"/>
  <c r="AC16" i="1"/>
  <c r="AC14" i="1"/>
  <c r="AC15" i="1"/>
  <c r="AC13" i="1"/>
  <c r="AC12" i="1"/>
  <c r="AC11" i="1"/>
  <c r="AC10" i="1"/>
  <c r="AC9" i="1"/>
  <c r="AC8" i="1"/>
  <c r="AC7" i="1"/>
  <c r="AC6" i="1"/>
  <c r="AC5" i="1"/>
  <c r="AC4" i="1"/>
  <c r="AC3" i="1"/>
  <c r="AC2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19" i="1"/>
  <c r="Y120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5" i="1"/>
  <c r="Y106" i="1"/>
  <c r="Y104" i="1"/>
  <c r="Y103" i="1"/>
  <c r="Y102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1" i="1"/>
  <c r="Y20" i="1"/>
  <c r="Y19" i="1"/>
  <c r="Y22" i="1"/>
  <c r="Y18" i="1"/>
  <c r="Y17" i="1"/>
  <c r="Y16" i="1"/>
  <c r="Y14" i="1"/>
  <c r="Y15" i="1"/>
  <c r="Y13" i="1"/>
  <c r="Y12" i="1"/>
  <c r="Y11" i="1"/>
  <c r="Y10" i="1"/>
  <c r="Y9" i="1"/>
  <c r="Y8" i="1"/>
  <c r="Y7" i="1"/>
  <c r="Y6" i="1"/>
  <c r="Y5" i="1"/>
  <c r="Y4" i="1"/>
  <c r="Y3" i="1"/>
  <c r="Y2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19" i="1"/>
  <c r="U120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5" i="1"/>
  <c r="U106" i="1"/>
  <c r="U104" i="1"/>
  <c r="U103" i="1"/>
  <c r="U102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1" i="1"/>
  <c r="U20" i="1"/>
  <c r="U19" i="1"/>
  <c r="U22" i="1"/>
  <c r="U18" i="1"/>
  <c r="U17" i="1"/>
  <c r="U16" i="1"/>
  <c r="U14" i="1"/>
  <c r="U15" i="1"/>
  <c r="U13" i="1"/>
  <c r="U12" i="1"/>
  <c r="U11" i="1"/>
  <c r="U9" i="1"/>
  <c r="U8" i="1"/>
  <c r="U7" i="1"/>
  <c r="U6" i="1"/>
  <c r="U5" i="1"/>
  <c r="U4" i="1"/>
  <c r="U3" i="1"/>
  <c r="U2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19" i="1"/>
  <c r="Q120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5" i="1"/>
  <c r="Q106" i="1"/>
  <c r="Q104" i="1"/>
  <c r="Q103" i="1"/>
  <c r="Q102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1" i="1"/>
  <c r="Q20" i="1"/>
  <c r="Q19" i="1"/>
  <c r="Q22" i="1"/>
  <c r="Q18" i="1"/>
  <c r="Q17" i="1"/>
  <c r="Q16" i="1"/>
  <c r="Q14" i="1"/>
  <c r="Q15" i="1"/>
  <c r="Q13" i="1"/>
  <c r="Q12" i="1"/>
  <c r="Q11" i="1"/>
  <c r="Q9" i="1"/>
  <c r="Q8" i="1"/>
  <c r="Q7" i="1"/>
  <c r="Q6" i="1"/>
  <c r="Q5" i="1"/>
  <c r="Q4" i="1"/>
  <c r="Q3" i="1"/>
  <c r="Q2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19" i="1"/>
  <c r="M120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5" i="1"/>
  <c r="M106" i="1"/>
  <c r="M104" i="1"/>
  <c r="M103" i="1"/>
  <c r="M102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8" i="1"/>
  <c r="M47" i="1"/>
  <c r="M46" i="1"/>
  <c r="M45" i="1"/>
  <c r="M44" i="1"/>
  <c r="M43" i="1"/>
  <c r="M42" i="1"/>
  <c r="M41" i="1"/>
  <c r="M40" i="1"/>
  <c r="M39" i="1"/>
  <c r="M38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1" i="1"/>
  <c r="M20" i="1"/>
  <c r="M19" i="1"/>
  <c r="M22" i="1"/>
  <c r="M18" i="1"/>
  <c r="M17" i="1"/>
  <c r="M16" i="1"/>
  <c r="M14" i="1"/>
  <c r="M15" i="1"/>
  <c r="M13" i="1"/>
  <c r="M12" i="1"/>
  <c r="M11" i="1"/>
  <c r="M10" i="1"/>
  <c r="M9" i="1"/>
  <c r="M8" i="1"/>
  <c r="M7" i="1"/>
  <c r="M6" i="1"/>
  <c r="M5" i="1"/>
  <c r="M4" i="1"/>
  <c r="M3" i="1"/>
  <c r="M2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19" i="1"/>
  <c r="I120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5" i="1"/>
  <c r="I106" i="1"/>
  <c r="I104" i="1"/>
  <c r="I103" i="1"/>
  <c r="I102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1" i="1"/>
  <c r="I20" i="1"/>
  <c r="I19" i="1"/>
  <c r="I22" i="1"/>
  <c r="I18" i="1"/>
  <c r="I17" i="1"/>
  <c r="I16" i="1"/>
  <c r="I14" i="1"/>
  <c r="I15" i="1"/>
  <c r="I13" i="1"/>
  <c r="I12" i="1"/>
  <c r="I11" i="1"/>
  <c r="I10" i="1"/>
  <c r="I9" i="1"/>
  <c r="I8" i="1"/>
  <c r="I7" i="1"/>
  <c r="I6" i="1"/>
  <c r="I5" i="1"/>
  <c r="I4" i="1"/>
  <c r="I3" i="1"/>
  <c r="I2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19" i="1"/>
  <c r="E120" i="1"/>
  <c r="E118" i="1"/>
  <c r="E117" i="1"/>
  <c r="E116" i="1"/>
  <c r="E115" i="1"/>
  <c r="E114" i="1"/>
  <c r="E112" i="1"/>
  <c r="E111" i="1"/>
  <c r="E110" i="1"/>
  <c r="E109" i="1"/>
  <c r="E108" i="1"/>
  <c r="E107" i="1"/>
  <c r="E105" i="1"/>
  <c r="E106" i="1"/>
  <c r="E104" i="1"/>
  <c r="E103" i="1"/>
  <c r="E102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1" i="1"/>
  <c r="E20" i="1"/>
  <c r="E19" i="1"/>
  <c r="E22" i="1"/>
  <c r="E18" i="1"/>
  <c r="E17" i="1"/>
  <c r="E16" i="1"/>
  <c r="E14" i="1"/>
  <c r="E15" i="1"/>
  <c r="E13" i="1"/>
  <c r="E12" i="1"/>
  <c r="E11" i="1"/>
  <c r="E10" i="1"/>
  <c r="E9" i="1"/>
  <c r="E8" i="1"/>
  <c r="E7" i="1"/>
  <c r="E6" i="1"/>
  <c r="E5" i="1"/>
  <c r="E4" i="1"/>
  <c r="E3" i="1"/>
  <c r="E2" i="1"/>
  <c r="D12" i="1"/>
  <c r="C12" i="2" s="1" a="1"/>
  <c r="C12" i="2" s="1"/>
  <c r="AV135" i="1"/>
  <c r="N128" i="2" s="1" a="1"/>
  <c r="N128" i="2" s="1"/>
  <c r="AB128" i="2" s="1"/>
  <c r="AV134" i="1"/>
  <c r="N127" i="2" s="1" a="1"/>
  <c r="N127" i="2" s="1"/>
  <c r="AB127" i="2" s="1"/>
  <c r="AV133" i="1"/>
  <c r="N126" i="2" s="1" a="1"/>
  <c r="N126" i="2" s="1"/>
  <c r="AB126" i="2" s="1"/>
  <c r="AV132" i="1"/>
  <c r="N125" i="2" s="1" a="1"/>
  <c r="N125" i="2" s="1"/>
  <c r="AB125" i="2" s="1"/>
  <c r="AV131" i="1"/>
  <c r="N124" i="2" s="1" a="1"/>
  <c r="N124" i="2" s="1"/>
  <c r="AB124" i="2" s="1"/>
  <c r="AV130" i="1"/>
  <c r="N123" i="2" s="1" a="1"/>
  <c r="N123" i="2" s="1"/>
  <c r="AB123" i="2" s="1"/>
  <c r="AV129" i="1"/>
  <c r="N122" i="2" s="1" a="1"/>
  <c r="N122" i="2" s="1"/>
  <c r="AB122" i="2" s="1"/>
  <c r="AV128" i="1"/>
  <c r="N121" i="2" s="1" a="1"/>
  <c r="N121" i="2" s="1"/>
  <c r="AB121" i="2" s="1"/>
  <c r="AV127" i="1"/>
  <c r="N120" i="2" s="1" a="1"/>
  <c r="N120" i="2" s="1"/>
  <c r="AB120" i="2" s="1"/>
  <c r="AV126" i="1"/>
  <c r="N119" i="2" s="1" a="1"/>
  <c r="N119" i="2" s="1"/>
  <c r="AB119" i="2" s="1"/>
  <c r="AV125" i="1"/>
  <c r="N118" i="2" s="1" a="1"/>
  <c r="N118" i="2" s="1"/>
  <c r="AB118" i="2" s="1"/>
  <c r="AV124" i="1"/>
  <c r="N117" i="2" s="1" a="1"/>
  <c r="N117" i="2" s="1"/>
  <c r="AB117" i="2" s="1"/>
  <c r="AV123" i="1"/>
  <c r="N116" i="2" s="1" a="1"/>
  <c r="N116" i="2" s="1"/>
  <c r="AB116" i="2" s="1"/>
  <c r="AV122" i="1"/>
  <c r="N115" i="2" s="1" a="1"/>
  <c r="N115" i="2" s="1"/>
  <c r="AB115" i="2" s="1"/>
  <c r="AV121" i="1"/>
  <c r="N114" i="2" s="1" a="1"/>
  <c r="N114" i="2" s="1"/>
  <c r="AB114" i="2" s="1"/>
  <c r="AV119" i="1"/>
  <c r="N113" i="2" s="1" a="1"/>
  <c r="N113" i="2" s="1"/>
  <c r="AB113" i="2" s="1"/>
  <c r="AV120" i="1"/>
  <c r="N112" i="2" s="1" a="1"/>
  <c r="N112" i="2" s="1"/>
  <c r="AB112" i="2" s="1"/>
  <c r="AV118" i="1"/>
  <c r="N111" i="2" s="1" a="1"/>
  <c r="N111" i="2" s="1"/>
  <c r="AB111" i="2" s="1"/>
  <c r="AV117" i="1"/>
  <c r="N110" i="2" s="1" a="1"/>
  <c r="N110" i="2" s="1"/>
  <c r="AB110" i="2" s="1"/>
  <c r="AV116" i="1"/>
  <c r="N109" i="2" s="1" a="1"/>
  <c r="N109" i="2" s="1"/>
  <c r="AB109" i="2" s="1"/>
  <c r="AV115" i="1"/>
  <c r="N108" i="2" s="1" a="1"/>
  <c r="N108" i="2" s="1"/>
  <c r="AB108" i="2" s="1"/>
  <c r="AV114" i="1"/>
  <c r="N107" i="2" s="1" a="1"/>
  <c r="N107" i="2" s="1"/>
  <c r="AB107" i="2" s="1"/>
  <c r="AV113" i="1"/>
  <c r="N106" i="2" s="1" a="1"/>
  <c r="N106" i="2" s="1"/>
  <c r="AB106" i="2" s="1"/>
  <c r="AV112" i="1"/>
  <c r="N105" i="2" s="1" a="1"/>
  <c r="N105" i="2" s="1"/>
  <c r="AB105" i="2" s="1"/>
  <c r="AV111" i="1"/>
  <c r="N104" i="2" s="1" a="1"/>
  <c r="N104" i="2" s="1"/>
  <c r="AB104" i="2" s="1"/>
  <c r="AV110" i="1"/>
  <c r="N103" i="2" s="1" a="1"/>
  <c r="N103" i="2" s="1"/>
  <c r="AB103" i="2" s="1"/>
  <c r="AV109" i="1"/>
  <c r="N102" i="2" s="1" a="1"/>
  <c r="N102" i="2" s="1"/>
  <c r="AB102" i="2" s="1"/>
  <c r="AV108" i="1"/>
  <c r="N101" i="2" s="1" a="1"/>
  <c r="N101" i="2" s="1"/>
  <c r="AB101" i="2" s="1"/>
  <c r="AV107" i="1"/>
  <c r="N100" i="2" s="1" a="1"/>
  <c r="N100" i="2" s="1"/>
  <c r="AB100" i="2" s="1"/>
  <c r="AV105" i="1"/>
  <c r="N99" i="2" s="1" a="1"/>
  <c r="N99" i="2" s="1"/>
  <c r="AB99" i="2" s="1"/>
  <c r="AV106" i="1"/>
  <c r="N98" i="2" s="1" a="1"/>
  <c r="N98" i="2" s="1"/>
  <c r="AB98" i="2" s="1"/>
  <c r="AV104" i="1"/>
  <c r="N97" i="2" s="1" a="1"/>
  <c r="N97" i="2" s="1"/>
  <c r="AV103" i="1"/>
  <c r="N96" i="2" s="1" a="1"/>
  <c r="N96" i="2" s="1"/>
  <c r="AB96" i="2" s="1"/>
  <c r="AV102" i="1"/>
  <c r="N95" i="2" s="1" a="1"/>
  <c r="N95" i="2" s="1"/>
  <c r="AB95" i="2" s="1"/>
  <c r="N94" i="2" a="1"/>
  <c r="N94" i="2" s="1"/>
  <c r="AB94" i="2" s="1"/>
  <c r="AV93" i="1"/>
  <c r="N93" i="2" s="1" a="1"/>
  <c r="N93" i="2" s="1"/>
  <c r="AB93" i="2" s="1"/>
  <c r="AV92" i="1"/>
  <c r="N92" i="2" s="1" a="1"/>
  <c r="N92" i="2" s="1"/>
  <c r="AB92" i="2" s="1"/>
  <c r="AV91" i="1"/>
  <c r="N91" i="2" s="1" a="1"/>
  <c r="N91" i="2" s="1"/>
  <c r="AB91" i="2" s="1"/>
  <c r="AV90" i="1"/>
  <c r="N90" i="2" s="1" a="1"/>
  <c r="N90" i="2" s="1"/>
  <c r="AB90" i="2" s="1"/>
  <c r="AV89" i="1"/>
  <c r="N89" i="2" s="1" a="1"/>
  <c r="N89" i="2" s="1"/>
  <c r="AB89" i="2" s="1"/>
  <c r="AV88" i="1"/>
  <c r="N88" i="2" s="1" a="1"/>
  <c r="N88" i="2" s="1"/>
  <c r="AB88" i="2" s="1"/>
  <c r="AV87" i="1"/>
  <c r="N87" i="2" s="1" a="1"/>
  <c r="N87" i="2" s="1"/>
  <c r="AB87" i="2" s="1"/>
  <c r="AV86" i="1"/>
  <c r="N86" i="2" s="1" a="1"/>
  <c r="N86" i="2" s="1"/>
  <c r="AB86" i="2" s="1"/>
  <c r="AV85" i="1"/>
  <c r="N85" i="2" s="1" a="1"/>
  <c r="N85" i="2" s="1"/>
  <c r="AB85" i="2" s="1"/>
  <c r="AV84" i="1"/>
  <c r="N84" i="2" s="1" a="1"/>
  <c r="N84" i="2" s="1"/>
  <c r="AB84" i="2" s="1"/>
  <c r="AV83" i="1"/>
  <c r="N83" i="2" s="1" a="1"/>
  <c r="N83" i="2" s="1"/>
  <c r="AB83" i="2" s="1"/>
  <c r="AV82" i="1"/>
  <c r="N82" i="2" s="1" a="1"/>
  <c r="N82" i="2" s="1"/>
  <c r="AB82" i="2" s="1"/>
  <c r="AV81" i="1"/>
  <c r="N81" i="2" s="1" a="1"/>
  <c r="N81" i="2" s="1"/>
  <c r="AB81" i="2" s="1"/>
  <c r="AV80" i="1"/>
  <c r="N80" i="2" s="1" a="1"/>
  <c r="N80" i="2" s="1"/>
  <c r="AB80" i="2" s="1"/>
  <c r="AV79" i="1"/>
  <c r="N79" i="2" s="1" a="1"/>
  <c r="N79" i="2" s="1"/>
  <c r="AB79" i="2" s="1"/>
  <c r="AV78" i="1"/>
  <c r="N78" i="2" s="1" a="1"/>
  <c r="N78" i="2" s="1"/>
  <c r="AB78" i="2" s="1"/>
  <c r="AV77" i="1"/>
  <c r="N77" i="2" s="1" a="1"/>
  <c r="N77" i="2" s="1"/>
  <c r="AB77" i="2" s="1"/>
  <c r="AV76" i="1"/>
  <c r="N76" i="2" s="1" a="1"/>
  <c r="N76" i="2" s="1"/>
  <c r="AB76" i="2" s="1"/>
  <c r="AV75" i="1"/>
  <c r="N75" i="2" s="1" a="1"/>
  <c r="N75" i="2" s="1"/>
  <c r="AB75" i="2" s="1"/>
  <c r="AV74" i="1"/>
  <c r="N74" i="2" s="1" a="1"/>
  <c r="N74" i="2" s="1"/>
  <c r="AB74" i="2" s="1"/>
  <c r="AV73" i="1"/>
  <c r="N73" i="2" s="1" a="1"/>
  <c r="N73" i="2" s="1"/>
  <c r="AB73" i="2" s="1"/>
  <c r="AV72" i="1"/>
  <c r="N72" i="2" s="1" a="1"/>
  <c r="N72" i="2" s="1"/>
  <c r="AB72" i="2" s="1"/>
  <c r="AV71" i="1"/>
  <c r="N71" i="2" s="1" a="1"/>
  <c r="N71" i="2" s="1"/>
  <c r="AB71" i="2" s="1"/>
  <c r="AV70" i="1"/>
  <c r="N70" i="2" s="1" a="1"/>
  <c r="N70" i="2" s="1"/>
  <c r="AB70" i="2" s="1"/>
  <c r="AV69" i="1"/>
  <c r="N69" i="2" s="1" a="1"/>
  <c r="N69" i="2" s="1"/>
  <c r="AB69" i="2" s="1"/>
  <c r="AV68" i="1"/>
  <c r="N68" i="2" s="1" a="1"/>
  <c r="N68" i="2" s="1"/>
  <c r="AB68" i="2" s="1"/>
  <c r="AV67" i="1"/>
  <c r="N67" i="2" s="1" a="1"/>
  <c r="N67" i="2" s="1"/>
  <c r="AB67" i="2" s="1"/>
  <c r="AV66" i="1"/>
  <c r="N66" i="2" s="1" a="1"/>
  <c r="N66" i="2" s="1"/>
  <c r="AB66" i="2" s="1"/>
  <c r="AV65" i="1"/>
  <c r="N65" i="2" s="1" a="1"/>
  <c r="N65" i="2" s="1"/>
  <c r="AB65" i="2" s="1"/>
  <c r="AV64" i="1"/>
  <c r="N64" i="2" s="1" a="1"/>
  <c r="N64" i="2" s="1"/>
  <c r="AB64" i="2" s="1"/>
  <c r="AV63" i="1"/>
  <c r="N63" i="2" s="1" a="1"/>
  <c r="N63" i="2" s="1"/>
  <c r="AB63" i="2" s="1"/>
  <c r="AV62" i="1"/>
  <c r="N62" i="2" s="1" a="1"/>
  <c r="N62" i="2" s="1"/>
  <c r="AB62" i="2" s="1"/>
  <c r="AV61" i="1"/>
  <c r="N61" i="2" s="1" a="1"/>
  <c r="N61" i="2" s="1"/>
  <c r="AB61" i="2" s="1"/>
  <c r="AV60" i="1"/>
  <c r="N60" i="2" s="1" a="1"/>
  <c r="N60" i="2" s="1"/>
  <c r="AB60" i="2" s="1"/>
  <c r="AV59" i="1"/>
  <c r="N59" i="2" s="1" a="1"/>
  <c r="N59" i="2" s="1"/>
  <c r="AB59" i="2" s="1"/>
  <c r="AV58" i="1"/>
  <c r="N58" i="2" s="1" a="1"/>
  <c r="N58" i="2" s="1"/>
  <c r="AB58" i="2" s="1"/>
  <c r="AV57" i="1"/>
  <c r="N57" i="2" s="1" a="1"/>
  <c r="N57" i="2" s="1"/>
  <c r="AB57" i="2" s="1"/>
  <c r="AV56" i="1"/>
  <c r="N56" i="2" s="1" a="1"/>
  <c r="N56" i="2" s="1"/>
  <c r="AB56" i="2" s="1"/>
  <c r="AV55" i="1"/>
  <c r="N55" i="2" s="1" a="1"/>
  <c r="N55" i="2" s="1"/>
  <c r="AB55" i="2" s="1"/>
  <c r="AV54" i="1"/>
  <c r="N54" i="2" s="1" a="1"/>
  <c r="N54" i="2" s="1"/>
  <c r="AB54" i="2" s="1"/>
  <c r="AV53" i="1"/>
  <c r="N53" i="2" s="1" a="1"/>
  <c r="N53" i="2" s="1"/>
  <c r="AB53" i="2" s="1"/>
  <c r="AV52" i="1"/>
  <c r="N52" i="2" s="1" a="1"/>
  <c r="N52" i="2" s="1"/>
  <c r="AB52" i="2" s="1"/>
  <c r="AV51" i="1"/>
  <c r="N51" i="2" s="1" a="1"/>
  <c r="N51" i="2" s="1"/>
  <c r="AB51" i="2" s="1"/>
  <c r="AV50" i="1"/>
  <c r="N50" i="2" s="1" a="1"/>
  <c r="N50" i="2" s="1"/>
  <c r="AB50" i="2" s="1"/>
  <c r="AV49" i="1"/>
  <c r="N49" i="2" s="1" a="1"/>
  <c r="N49" i="2" s="1"/>
  <c r="AB49" i="2" s="1"/>
  <c r="AV48" i="1"/>
  <c r="N48" i="2" s="1" a="1"/>
  <c r="N48" i="2" s="1"/>
  <c r="AB48" i="2" s="1"/>
  <c r="AV47" i="1"/>
  <c r="N47" i="2" s="1" a="1"/>
  <c r="N47" i="2" s="1"/>
  <c r="AB47" i="2" s="1"/>
  <c r="AV46" i="1"/>
  <c r="N46" i="2" s="1" a="1"/>
  <c r="N46" i="2" s="1"/>
  <c r="AB46" i="2" s="1"/>
  <c r="AV45" i="1"/>
  <c r="N45" i="2" s="1" a="1"/>
  <c r="N45" i="2" s="1"/>
  <c r="AB45" i="2" s="1"/>
  <c r="AV44" i="1"/>
  <c r="N44" i="2" s="1" a="1"/>
  <c r="N44" i="2" s="1"/>
  <c r="AB44" i="2" s="1"/>
  <c r="AV43" i="1"/>
  <c r="N43" i="2" s="1" a="1"/>
  <c r="N43" i="2" s="1"/>
  <c r="AB43" i="2" s="1"/>
  <c r="AV42" i="1"/>
  <c r="N42" i="2" s="1" a="1"/>
  <c r="N42" i="2" s="1"/>
  <c r="AB42" i="2" s="1"/>
  <c r="AV41" i="1"/>
  <c r="N41" i="2" s="1" a="1"/>
  <c r="N41" i="2" s="1"/>
  <c r="AB41" i="2" s="1"/>
  <c r="AV40" i="1"/>
  <c r="N40" i="2" s="1" a="1"/>
  <c r="N40" i="2" s="1"/>
  <c r="AB40" i="2" s="1"/>
  <c r="AV39" i="1"/>
  <c r="N39" i="2" s="1" a="1"/>
  <c r="N39" i="2" s="1"/>
  <c r="AB39" i="2" s="1"/>
  <c r="AV38" i="1"/>
  <c r="N38" i="2" s="1" a="1"/>
  <c r="N38" i="2" s="1"/>
  <c r="AB38" i="2" s="1"/>
  <c r="AV37" i="1"/>
  <c r="N37" i="2" s="1" a="1"/>
  <c r="N37" i="2" s="1"/>
  <c r="AB37" i="2" s="1"/>
  <c r="AV36" i="1"/>
  <c r="N36" i="2" s="1" a="1"/>
  <c r="N36" i="2" s="1"/>
  <c r="AB36" i="2" s="1"/>
  <c r="AV35" i="1"/>
  <c r="N35" i="2" s="1" a="1"/>
  <c r="N35" i="2" s="1"/>
  <c r="AB35" i="2" s="1"/>
  <c r="AV34" i="1"/>
  <c r="N34" i="2" s="1" a="1"/>
  <c r="N34" i="2" s="1"/>
  <c r="AB34" i="2" s="1"/>
  <c r="AV33" i="1"/>
  <c r="N33" i="2" s="1" a="1"/>
  <c r="N33" i="2" s="1"/>
  <c r="AB33" i="2" s="1"/>
  <c r="AV32" i="1"/>
  <c r="N32" i="2" s="1" a="1"/>
  <c r="N32" i="2" s="1"/>
  <c r="AB32" i="2" s="1"/>
  <c r="AV31" i="1"/>
  <c r="N31" i="2" s="1" a="1"/>
  <c r="N31" i="2" s="1"/>
  <c r="AB31" i="2" s="1"/>
  <c r="AV30" i="1"/>
  <c r="N30" i="2" s="1" a="1"/>
  <c r="N30" i="2" s="1"/>
  <c r="AB30" i="2" s="1"/>
  <c r="AV29" i="1"/>
  <c r="N29" i="2" s="1" a="1"/>
  <c r="N29" i="2" s="1"/>
  <c r="AB29" i="2" s="1"/>
  <c r="AV28" i="1"/>
  <c r="N28" i="2" s="1" a="1"/>
  <c r="N28" i="2" s="1"/>
  <c r="AB28" i="2" s="1"/>
  <c r="AV27" i="1"/>
  <c r="N27" i="2" s="1" a="1"/>
  <c r="N27" i="2" s="1"/>
  <c r="AB27" i="2" s="1"/>
  <c r="AV26" i="1"/>
  <c r="N26" i="2" s="1" a="1"/>
  <c r="N26" i="2" s="1"/>
  <c r="AB26" i="2" s="1"/>
  <c r="AV25" i="1"/>
  <c r="N25" i="2" s="1" a="1"/>
  <c r="N25" i="2" s="1"/>
  <c r="AB25" i="2" s="1"/>
  <c r="AV24" i="1"/>
  <c r="N24" i="2" s="1" a="1"/>
  <c r="N24" i="2" s="1"/>
  <c r="AB24" i="2" s="1"/>
  <c r="AV23" i="1"/>
  <c r="N23" i="2" s="1" a="1"/>
  <c r="N23" i="2" s="1"/>
  <c r="AB23" i="2" s="1"/>
  <c r="AV21" i="1"/>
  <c r="N22" i="2" s="1" a="1"/>
  <c r="N22" i="2" s="1"/>
  <c r="AB22" i="2" s="1"/>
  <c r="AV20" i="1"/>
  <c r="N21" i="2" s="1" a="1"/>
  <c r="N21" i="2" s="1"/>
  <c r="AB21" i="2" s="1"/>
  <c r="AV19" i="1"/>
  <c r="N20" i="2" s="1" a="1"/>
  <c r="N20" i="2" s="1"/>
  <c r="AB20" i="2" s="1"/>
  <c r="AV22" i="1"/>
  <c r="N19" i="2" s="1" a="1"/>
  <c r="N19" i="2" s="1"/>
  <c r="AB19" i="2" s="1"/>
  <c r="AV18" i="1"/>
  <c r="N18" i="2" s="1" a="1"/>
  <c r="N18" i="2" s="1"/>
  <c r="AB18" i="2" s="1"/>
  <c r="AV17" i="1"/>
  <c r="N17" i="2" s="1" a="1"/>
  <c r="N17" i="2" s="1"/>
  <c r="AB17" i="2" s="1"/>
  <c r="AV16" i="1"/>
  <c r="N16" i="2" s="1" a="1"/>
  <c r="N16" i="2" s="1"/>
  <c r="AB16" i="2" s="1"/>
  <c r="AV14" i="1"/>
  <c r="N15" i="2" s="1" a="1"/>
  <c r="N15" i="2" s="1"/>
  <c r="AB15" i="2" s="1"/>
  <c r="AV15" i="1"/>
  <c r="N14" i="2" s="1" a="1"/>
  <c r="N14" i="2" s="1"/>
  <c r="AB14" i="2" s="1"/>
  <c r="AV13" i="1"/>
  <c r="N13" i="2" s="1" a="1"/>
  <c r="N13" i="2" s="1"/>
  <c r="AB13" i="2" s="1"/>
  <c r="AV12" i="1"/>
  <c r="N12" i="2" s="1" a="1"/>
  <c r="N12" i="2" s="1"/>
  <c r="AB12" i="2" s="1"/>
  <c r="AV11" i="1"/>
  <c r="N11" i="2" s="1" a="1"/>
  <c r="N11" i="2" s="1"/>
  <c r="AB11" i="2" s="1"/>
  <c r="AV10" i="1"/>
  <c r="N10" i="2" s="1" a="1"/>
  <c r="N10" i="2" s="1"/>
  <c r="AB10" i="2" s="1"/>
  <c r="AV9" i="1"/>
  <c r="N9" i="2" s="1" a="1"/>
  <c r="N9" i="2" s="1"/>
  <c r="AB9" i="2" s="1"/>
  <c r="AV8" i="1"/>
  <c r="N8" i="2" s="1" a="1"/>
  <c r="N8" i="2" s="1"/>
  <c r="AB8" i="2" s="1"/>
  <c r="AV7" i="1"/>
  <c r="N7" i="2" s="1" a="1"/>
  <c r="N7" i="2" s="1"/>
  <c r="AB7" i="2" s="1"/>
  <c r="AV6" i="1"/>
  <c r="N6" i="2" s="1" a="1"/>
  <c r="N6" i="2" s="1"/>
  <c r="AB6" i="2" s="1"/>
  <c r="AV5" i="1"/>
  <c r="N5" i="2" s="1" a="1"/>
  <c r="N5" i="2" s="1"/>
  <c r="AB5" i="2" s="1"/>
  <c r="AV4" i="1"/>
  <c r="N4" i="2" s="1" a="1"/>
  <c r="N4" i="2" s="1"/>
  <c r="AB4" i="2" s="1"/>
  <c r="AV3" i="1"/>
  <c r="N3" i="2" s="1" a="1"/>
  <c r="N3" i="2" s="1"/>
  <c r="AB3" i="2" s="1"/>
  <c r="AV2" i="1"/>
  <c r="N2" i="2" s="1" a="1"/>
  <c r="N2" i="2" s="1"/>
  <c r="AB2" i="2" s="1"/>
  <c r="AR135" i="1"/>
  <c r="M128" i="2" s="1" a="1"/>
  <c r="M128" i="2" s="1"/>
  <c r="AA128" i="2" s="1"/>
  <c r="AR134" i="1"/>
  <c r="M127" i="2" s="1" a="1"/>
  <c r="M127" i="2" s="1"/>
  <c r="AA127" i="2" s="1"/>
  <c r="AR133" i="1"/>
  <c r="M126" i="2" s="1" a="1"/>
  <c r="M126" i="2" s="1"/>
  <c r="AA126" i="2" s="1"/>
  <c r="AR132" i="1"/>
  <c r="M125" i="2" s="1" a="1"/>
  <c r="M125" i="2" s="1"/>
  <c r="AA125" i="2" s="1"/>
  <c r="AR131" i="1"/>
  <c r="M124" i="2" s="1" a="1"/>
  <c r="M124" i="2" s="1"/>
  <c r="AA124" i="2" s="1"/>
  <c r="AR130" i="1"/>
  <c r="M123" i="2" s="1" a="1"/>
  <c r="M123" i="2" s="1"/>
  <c r="AA123" i="2" s="1"/>
  <c r="AR129" i="1"/>
  <c r="M122" i="2" s="1" a="1"/>
  <c r="M122" i="2" s="1"/>
  <c r="AA122" i="2" s="1"/>
  <c r="AR128" i="1"/>
  <c r="M121" i="2" s="1" a="1"/>
  <c r="M121" i="2" s="1"/>
  <c r="AA121" i="2" s="1"/>
  <c r="AR127" i="1"/>
  <c r="M120" i="2" s="1" a="1"/>
  <c r="M120" i="2" s="1"/>
  <c r="AA120" i="2" s="1"/>
  <c r="AR126" i="1"/>
  <c r="M119" i="2" s="1" a="1"/>
  <c r="M119" i="2" s="1"/>
  <c r="AA119" i="2" s="1"/>
  <c r="AR125" i="1"/>
  <c r="M118" i="2" s="1" a="1"/>
  <c r="M118" i="2" s="1"/>
  <c r="AA118" i="2" s="1"/>
  <c r="AR124" i="1"/>
  <c r="M117" i="2" s="1" a="1"/>
  <c r="M117" i="2" s="1"/>
  <c r="AA117" i="2" s="1"/>
  <c r="AR123" i="1"/>
  <c r="M116" i="2" s="1" a="1"/>
  <c r="M116" i="2" s="1"/>
  <c r="AA116" i="2" s="1"/>
  <c r="AR122" i="1"/>
  <c r="M115" i="2" s="1" a="1"/>
  <c r="M115" i="2" s="1"/>
  <c r="AA115" i="2" s="1"/>
  <c r="AR121" i="1"/>
  <c r="M114" i="2" s="1" a="1"/>
  <c r="M114" i="2" s="1"/>
  <c r="AA114" i="2" s="1"/>
  <c r="AR119" i="1"/>
  <c r="M113" i="2" s="1" a="1"/>
  <c r="M113" i="2" s="1"/>
  <c r="AA113" i="2" s="1"/>
  <c r="AR120" i="1"/>
  <c r="M112" i="2" s="1" a="1"/>
  <c r="M112" i="2" s="1"/>
  <c r="AA112" i="2" s="1"/>
  <c r="AR118" i="1"/>
  <c r="M111" i="2" s="1" a="1"/>
  <c r="M111" i="2" s="1"/>
  <c r="AA111" i="2" s="1"/>
  <c r="AR117" i="1"/>
  <c r="M110" i="2" s="1" a="1"/>
  <c r="M110" i="2" s="1"/>
  <c r="AA110" i="2" s="1"/>
  <c r="AR116" i="1"/>
  <c r="M109" i="2" s="1" a="1"/>
  <c r="M109" i="2" s="1"/>
  <c r="AA109" i="2" s="1"/>
  <c r="AR115" i="1"/>
  <c r="M108" i="2" s="1" a="1"/>
  <c r="M108" i="2" s="1"/>
  <c r="AA108" i="2" s="1"/>
  <c r="AR114" i="1"/>
  <c r="M107" i="2" s="1" a="1"/>
  <c r="M107" i="2" s="1"/>
  <c r="AA107" i="2" s="1"/>
  <c r="AR113" i="1"/>
  <c r="M106" i="2" s="1" a="1"/>
  <c r="M106" i="2" s="1"/>
  <c r="AA106" i="2" s="1"/>
  <c r="AR112" i="1"/>
  <c r="M105" i="2" s="1" a="1"/>
  <c r="M105" i="2" s="1"/>
  <c r="AA105" i="2" s="1"/>
  <c r="AR111" i="1"/>
  <c r="M104" i="2" s="1" a="1"/>
  <c r="M104" i="2" s="1"/>
  <c r="AA104" i="2" s="1"/>
  <c r="AR110" i="1"/>
  <c r="M103" i="2" s="1" a="1"/>
  <c r="M103" i="2" s="1"/>
  <c r="AA103" i="2" s="1"/>
  <c r="AR109" i="1"/>
  <c r="M102" i="2" s="1" a="1"/>
  <c r="M102" i="2" s="1"/>
  <c r="AA102" i="2" s="1"/>
  <c r="AR108" i="1"/>
  <c r="M101" i="2" s="1" a="1"/>
  <c r="M101" i="2" s="1"/>
  <c r="AA101" i="2" s="1"/>
  <c r="AR107" i="1"/>
  <c r="M100" i="2" s="1" a="1"/>
  <c r="M100" i="2" s="1"/>
  <c r="AA100" i="2" s="1"/>
  <c r="AR105" i="1"/>
  <c r="M99" i="2" s="1" a="1"/>
  <c r="M99" i="2" s="1"/>
  <c r="AA99" i="2" s="1"/>
  <c r="AR106" i="1"/>
  <c r="M98" i="2" s="1" a="1"/>
  <c r="M98" i="2" s="1"/>
  <c r="AA98" i="2" s="1"/>
  <c r="AR104" i="1"/>
  <c r="M97" i="2" s="1" a="1"/>
  <c r="M97" i="2" s="1"/>
  <c r="AA97" i="2" s="1"/>
  <c r="AR103" i="1"/>
  <c r="M96" i="2" s="1" a="1"/>
  <c r="M96" i="2" s="1"/>
  <c r="AA96" i="2" s="1"/>
  <c r="AR102" i="1"/>
  <c r="M95" i="2" s="1" a="1"/>
  <c r="M95" i="2" s="1"/>
  <c r="AA95" i="2" s="1"/>
  <c r="M94" i="2" a="1"/>
  <c r="M94" i="2" s="1"/>
  <c r="AA94" i="2" s="1"/>
  <c r="AR93" i="1"/>
  <c r="M93" i="2" s="1" a="1"/>
  <c r="M93" i="2" s="1"/>
  <c r="AA93" i="2" s="1"/>
  <c r="AR92" i="1"/>
  <c r="M92" i="2" s="1" a="1"/>
  <c r="M92" i="2" s="1"/>
  <c r="AA92" i="2" s="1"/>
  <c r="AR91" i="1"/>
  <c r="M91" i="2" s="1" a="1"/>
  <c r="M91" i="2" s="1"/>
  <c r="AA91" i="2" s="1"/>
  <c r="AR90" i="1"/>
  <c r="M90" i="2" s="1" a="1"/>
  <c r="M90" i="2" s="1"/>
  <c r="AA90" i="2" s="1"/>
  <c r="AR89" i="1"/>
  <c r="M89" i="2" s="1" a="1"/>
  <c r="M89" i="2" s="1"/>
  <c r="AA89" i="2" s="1"/>
  <c r="AR88" i="1"/>
  <c r="M88" i="2" s="1" a="1"/>
  <c r="M88" i="2" s="1"/>
  <c r="AA88" i="2" s="1"/>
  <c r="AR87" i="1"/>
  <c r="M87" i="2" s="1" a="1"/>
  <c r="M87" i="2" s="1"/>
  <c r="AA87" i="2" s="1"/>
  <c r="AR86" i="1"/>
  <c r="M86" i="2" s="1" a="1"/>
  <c r="M86" i="2" s="1"/>
  <c r="AA86" i="2" s="1"/>
  <c r="AR85" i="1"/>
  <c r="M85" i="2" s="1" a="1"/>
  <c r="M85" i="2" s="1"/>
  <c r="AA85" i="2" s="1"/>
  <c r="AR84" i="1"/>
  <c r="M84" i="2" s="1" a="1"/>
  <c r="M84" i="2" s="1"/>
  <c r="AA84" i="2" s="1"/>
  <c r="AR83" i="1"/>
  <c r="M83" i="2" s="1" a="1"/>
  <c r="M83" i="2" s="1"/>
  <c r="AA83" i="2" s="1"/>
  <c r="AR82" i="1"/>
  <c r="M82" i="2" s="1" a="1"/>
  <c r="M82" i="2" s="1"/>
  <c r="AA82" i="2" s="1"/>
  <c r="AR81" i="1"/>
  <c r="M81" i="2" s="1" a="1"/>
  <c r="M81" i="2" s="1"/>
  <c r="AA81" i="2" s="1"/>
  <c r="AR80" i="1"/>
  <c r="M80" i="2" s="1" a="1"/>
  <c r="M80" i="2" s="1"/>
  <c r="AA80" i="2" s="1"/>
  <c r="AR79" i="1"/>
  <c r="M79" i="2" s="1" a="1"/>
  <c r="M79" i="2" s="1"/>
  <c r="AA79" i="2" s="1"/>
  <c r="AR78" i="1"/>
  <c r="M78" i="2" s="1" a="1"/>
  <c r="M78" i="2" s="1"/>
  <c r="AA78" i="2" s="1"/>
  <c r="AR77" i="1"/>
  <c r="M77" i="2" s="1" a="1"/>
  <c r="M77" i="2" s="1"/>
  <c r="AA77" i="2" s="1"/>
  <c r="AR76" i="1"/>
  <c r="M76" i="2" s="1" a="1"/>
  <c r="M76" i="2" s="1"/>
  <c r="AA76" i="2" s="1"/>
  <c r="AR75" i="1"/>
  <c r="M75" i="2" s="1" a="1"/>
  <c r="M75" i="2" s="1"/>
  <c r="AA75" i="2" s="1"/>
  <c r="AR74" i="1"/>
  <c r="M74" i="2" s="1" a="1"/>
  <c r="M74" i="2" s="1"/>
  <c r="AA74" i="2" s="1"/>
  <c r="AR73" i="1"/>
  <c r="M73" i="2" s="1" a="1"/>
  <c r="M73" i="2" s="1"/>
  <c r="AA73" i="2" s="1"/>
  <c r="AR72" i="1"/>
  <c r="M72" i="2" s="1" a="1"/>
  <c r="M72" i="2" s="1"/>
  <c r="AA72" i="2" s="1"/>
  <c r="AR71" i="1"/>
  <c r="M71" i="2" s="1" a="1"/>
  <c r="M71" i="2" s="1"/>
  <c r="AA71" i="2" s="1"/>
  <c r="AR70" i="1"/>
  <c r="M70" i="2" s="1" a="1"/>
  <c r="M70" i="2" s="1"/>
  <c r="AA70" i="2" s="1"/>
  <c r="AR69" i="1"/>
  <c r="M69" i="2" s="1" a="1"/>
  <c r="M69" i="2" s="1"/>
  <c r="AA69" i="2" s="1"/>
  <c r="AR68" i="1"/>
  <c r="M68" i="2" s="1" a="1"/>
  <c r="M68" i="2" s="1"/>
  <c r="AA68" i="2" s="1"/>
  <c r="AR67" i="1"/>
  <c r="M67" i="2" s="1" a="1"/>
  <c r="M67" i="2" s="1"/>
  <c r="AA67" i="2" s="1"/>
  <c r="AR66" i="1"/>
  <c r="M66" i="2" s="1" a="1"/>
  <c r="M66" i="2" s="1"/>
  <c r="AA66" i="2" s="1"/>
  <c r="AR65" i="1"/>
  <c r="M65" i="2" s="1" a="1"/>
  <c r="M65" i="2" s="1"/>
  <c r="AA65" i="2" s="1"/>
  <c r="AR64" i="1"/>
  <c r="M64" i="2" s="1" a="1"/>
  <c r="M64" i="2" s="1"/>
  <c r="AA64" i="2" s="1"/>
  <c r="AR63" i="1"/>
  <c r="M63" i="2" s="1" a="1"/>
  <c r="M63" i="2" s="1"/>
  <c r="AA63" i="2" s="1"/>
  <c r="AR62" i="1"/>
  <c r="M62" i="2" s="1" a="1"/>
  <c r="M62" i="2" s="1"/>
  <c r="AA62" i="2" s="1"/>
  <c r="AR61" i="1"/>
  <c r="M61" i="2" s="1" a="1"/>
  <c r="M61" i="2" s="1"/>
  <c r="AA61" i="2" s="1"/>
  <c r="AR60" i="1"/>
  <c r="M60" i="2" s="1" a="1"/>
  <c r="M60" i="2" s="1"/>
  <c r="AA60" i="2" s="1"/>
  <c r="AR59" i="1"/>
  <c r="M59" i="2" s="1" a="1"/>
  <c r="M59" i="2" s="1"/>
  <c r="AA59" i="2" s="1"/>
  <c r="AR58" i="1"/>
  <c r="M58" i="2" s="1" a="1"/>
  <c r="M58" i="2" s="1"/>
  <c r="AA58" i="2" s="1"/>
  <c r="AR57" i="1"/>
  <c r="M57" i="2" s="1" a="1"/>
  <c r="M57" i="2" s="1"/>
  <c r="AA57" i="2" s="1"/>
  <c r="AR56" i="1"/>
  <c r="M56" i="2" s="1" a="1"/>
  <c r="M56" i="2" s="1"/>
  <c r="AA56" i="2" s="1"/>
  <c r="AR55" i="1"/>
  <c r="M55" i="2" s="1" a="1"/>
  <c r="M55" i="2" s="1"/>
  <c r="AA55" i="2" s="1"/>
  <c r="AR54" i="1"/>
  <c r="M54" i="2" s="1" a="1"/>
  <c r="M54" i="2" s="1"/>
  <c r="AA54" i="2" s="1"/>
  <c r="AR53" i="1"/>
  <c r="M53" i="2" s="1" a="1"/>
  <c r="M53" i="2" s="1"/>
  <c r="AA53" i="2" s="1"/>
  <c r="AR52" i="1"/>
  <c r="M52" i="2" s="1" a="1"/>
  <c r="M52" i="2" s="1"/>
  <c r="AA52" i="2" s="1"/>
  <c r="AR51" i="1"/>
  <c r="M51" i="2" s="1" a="1"/>
  <c r="M51" i="2" s="1"/>
  <c r="AA51" i="2" s="1"/>
  <c r="AR50" i="1"/>
  <c r="M50" i="2" s="1" a="1"/>
  <c r="M50" i="2" s="1"/>
  <c r="AA50" i="2" s="1"/>
  <c r="AR49" i="1"/>
  <c r="M49" i="2" s="1" a="1"/>
  <c r="M49" i="2" s="1"/>
  <c r="AA49" i="2" s="1"/>
  <c r="AR48" i="1"/>
  <c r="M48" i="2" s="1" a="1"/>
  <c r="M48" i="2" s="1"/>
  <c r="AA48" i="2" s="1"/>
  <c r="AR47" i="1"/>
  <c r="M47" i="2" s="1" a="1"/>
  <c r="M47" i="2" s="1"/>
  <c r="AA47" i="2" s="1"/>
  <c r="AR46" i="1"/>
  <c r="M46" i="2" s="1" a="1"/>
  <c r="M46" i="2" s="1"/>
  <c r="AA46" i="2" s="1"/>
  <c r="AR45" i="1"/>
  <c r="M45" i="2" s="1" a="1"/>
  <c r="M45" i="2" s="1"/>
  <c r="AA45" i="2" s="1"/>
  <c r="AR44" i="1"/>
  <c r="M44" i="2" s="1" a="1"/>
  <c r="M44" i="2" s="1"/>
  <c r="AA44" i="2" s="1"/>
  <c r="AR43" i="1"/>
  <c r="M43" i="2" s="1" a="1"/>
  <c r="M43" i="2" s="1"/>
  <c r="AA43" i="2" s="1"/>
  <c r="AR42" i="1"/>
  <c r="M42" i="2" s="1" a="1"/>
  <c r="M42" i="2" s="1"/>
  <c r="AA42" i="2" s="1"/>
  <c r="AR40" i="1"/>
  <c r="M40" i="2" s="1" a="1"/>
  <c r="M40" i="2" s="1"/>
  <c r="AA40" i="2" s="1"/>
  <c r="AR39" i="1"/>
  <c r="M39" i="2" s="1" a="1"/>
  <c r="M39" i="2" s="1"/>
  <c r="AA39" i="2" s="1"/>
  <c r="AR38" i="1"/>
  <c r="M38" i="2" s="1" a="1"/>
  <c r="M38" i="2" s="1"/>
  <c r="AA38" i="2" s="1"/>
  <c r="AR37" i="1"/>
  <c r="M37" i="2" s="1" a="1"/>
  <c r="M37" i="2" s="1"/>
  <c r="AA37" i="2" s="1"/>
  <c r="AR36" i="1"/>
  <c r="M36" i="2" s="1" a="1"/>
  <c r="M36" i="2" s="1"/>
  <c r="AA36" i="2" s="1"/>
  <c r="AR35" i="1"/>
  <c r="M35" i="2" s="1" a="1"/>
  <c r="M35" i="2" s="1"/>
  <c r="AA35" i="2" s="1"/>
  <c r="AR34" i="1"/>
  <c r="M34" i="2" s="1" a="1"/>
  <c r="M34" i="2" s="1"/>
  <c r="AA34" i="2" s="1"/>
  <c r="AR33" i="1"/>
  <c r="M33" i="2" s="1" a="1"/>
  <c r="M33" i="2" s="1"/>
  <c r="AA33" i="2" s="1"/>
  <c r="AR32" i="1"/>
  <c r="M32" i="2" s="1" a="1"/>
  <c r="M32" i="2" s="1"/>
  <c r="AA32" i="2" s="1"/>
  <c r="AR31" i="1"/>
  <c r="M31" i="2" s="1" a="1"/>
  <c r="M31" i="2" s="1"/>
  <c r="AA31" i="2" s="1"/>
  <c r="AR30" i="1"/>
  <c r="M30" i="2" s="1" a="1"/>
  <c r="M30" i="2" s="1"/>
  <c r="AA30" i="2" s="1"/>
  <c r="AR29" i="1"/>
  <c r="M29" i="2" s="1" a="1"/>
  <c r="M29" i="2" s="1"/>
  <c r="AA29" i="2" s="1"/>
  <c r="AR28" i="1"/>
  <c r="M28" i="2" s="1" a="1"/>
  <c r="M28" i="2" s="1"/>
  <c r="AA28" i="2" s="1"/>
  <c r="AR27" i="1"/>
  <c r="M27" i="2" s="1" a="1"/>
  <c r="M27" i="2" s="1"/>
  <c r="AA27" i="2" s="1"/>
  <c r="AR26" i="1"/>
  <c r="M26" i="2" s="1" a="1"/>
  <c r="M26" i="2" s="1"/>
  <c r="AA26" i="2" s="1"/>
  <c r="AR25" i="1"/>
  <c r="M25" i="2" s="1" a="1"/>
  <c r="M25" i="2" s="1"/>
  <c r="AA25" i="2" s="1"/>
  <c r="AR24" i="1"/>
  <c r="M24" i="2" s="1" a="1"/>
  <c r="M24" i="2" s="1"/>
  <c r="AA24" i="2" s="1"/>
  <c r="AR23" i="1"/>
  <c r="M23" i="2" s="1" a="1"/>
  <c r="M23" i="2" s="1"/>
  <c r="AA23" i="2" s="1"/>
  <c r="AR21" i="1"/>
  <c r="M22" i="2" s="1" a="1"/>
  <c r="M22" i="2" s="1"/>
  <c r="AA22" i="2" s="1"/>
  <c r="AR20" i="1"/>
  <c r="M21" i="2" s="1" a="1"/>
  <c r="M21" i="2" s="1"/>
  <c r="AA21" i="2" s="1"/>
  <c r="AR19" i="1"/>
  <c r="M20" i="2" s="1" a="1"/>
  <c r="M20" i="2" s="1"/>
  <c r="AA20" i="2" s="1"/>
  <c r="AR22" i="1"/>
  <c r="M19" i="2" s="1" a="1"/>
  <c r="M19" i="2" s="1"/>
  <c r="AA19" i="2" s="1"/>
  <c r="AR18" i="1"/>
  <c r="M18" i="2" s="1" a="1"/>
  <c r="M18" i="2" s="1"/>
  <c r="AA18" i="2" s="1"/>
  <c r="AR17" i="1"/>
  <c r="M17" i="2" s="1" a="1"/>
  <c r="M17" i="2" s="1"/>
  <c r="AA17" i="2" s="1"/>
  <c r="AR16" i="1"/>
  <c r="M16" i="2" s="1" a="1"/>
  <c r="M16" i="2" s="1"/>
  <c r="AA16" i="2" s="1"/>
  <c r="AR14" i="1"/>
  <c r="M15" i="2" s="1" a="1"/>
  <c r="M15" i="2" s="1"/>
  <c r="AA15" i="2" s="1"/>
  <c r="AR15" i="1"/>
  <c r="M14" i="2" s="1" a="1"/>
  <c r="M14" i="2" s="1"/>
  <c r="AA14" i="2" s="1"/>
  <c r="AR13" i="1"/>
  <c r="M13" i="2" s="1" a="1"/>
  <c r="M13" i="2" s="1"/>
  <c r="AA13" i="2" s="1"/>
  <c r="AR12" i="1"/>
  <c r="M12" i="2" s="1" a="1"/>
  <c r="M12" i="2" s="1"/>
  <c r="AA12" i="2" s="1"/>
  <c r="AR11" i="1"/>
  <c r="M11" i="2" s="1" a="1"/>
  <c r="M11" i="2" s="1"/>
  <c r="AA11" i="2" s="1"/>
  <c r="AR10" i="1"/>
  <c r="M10" i="2" s="1" a="1"/>
  <c r="M10" i="2" s="1"/>
  <c r="AA10" i="2" s="1"/>
  <c r="AR9" i="1"/>
  <c r="M9" i="2" s="1" a="1"/>
  <c r="M9" i="2" s="1"/>
  <c r="AA9" i="2" s="1"/>
  <c r="AR8" i="1"/>
  <c r="M8" i="2" s="1" a="1"/>
  <c r="M8" i="2" s="1"/>
  <c r="AA8" i="2" s="1"/>
  <c r="AR7" i="1"/>
  <c r="M7" i="2" s="1" a="1"/>
  <c r="M7" i="2" s="1"/>
  <c r="AA7" i="2" s="1"/>
  <c r="AR6" i="1"/>
  <c r="M6" i="2" s="1" a="1"/>
  <c r="M6" i="2" s="1"/>
  <c r="AA6" i="2" s="1"/>
  <c r="AR5" i="1"/>
  <c r="M5" i="2" s="1" a="1"/>
  <c r="M5" i="2" s="1"/>
  <c r="AA5" i="2" s="1"/>
  <c r="AR4" i="1"/>
  <c r="M4" i="2" s="1" a="1"/>
  <c r="M4" i="2" s="1"/>
  <c r="AA4" i="2" s="1"/>
  <c r="AR3" i="1"/>
  <c r="M3" i="2" s="1" a="1"/>
  <c r="M3" i="2" s="1"/>
  <c r="AA3" i="2" s="1"/>
  <c r="AR2" i="1"/>
  <c r="M2" i="2" s="1" a="1"/>
  <c r="M2" i="2" s="1"/>
  <c r="AA2" i="2" s="1"/>
  <c r="AN135" i="1"/>
  <c r="L128" i="2" s="1" a="1"/>
  <c r="L128" i="2" s="1"/>
  <c r="Z128" i="2" s="1"/>
  <c r="AN134" i="1"/>
  <c r="L127" i="2" s="1" a="1"/>
  <c r="L127" i="2" s="1"/>
  <c r="Z127" i="2" s="1"/>
  <c r="AN133" i="1"/>
  <c r="L126" i="2" s="1" a="1"/>
  <c r="L126" i="2" s="1"/>
  <c r="Z126" i="2" s="1"/>
  <c r="AN132" i="1"/>
  <c r="L125" i="2" s="1" a="1"/>
  <c r="L125" i="2" s="1"/>
  <c r="Z125" i="2" s="1"/>
  <c r="AN131" i="1"/>
  <c r="L124" i="2" s="1" a="1"/>
  <c r="L124" i="2" s="1"/>
  <c r="Z124" i="2" s="1"/>
  <c r="AN130" i="1"/>
  <c r="L123" i="2" s="1" a="1"/>
  <c r="L123" i="2" s="1"/>
  <c r="Z123" i="2" s="1"/>
  <c r="AN129" i="1"/>
  <c r="L122" i="2" s="1" a="1"/>
  <c r="L122" i="2" s="1"/>
  <c r="Z122" i="2" s="1"/>
  <c r="AN128" i="1"/>
  <c r="L121" i="2" s="1" a="1"/>
  <c r="L121" i="2" s="1"/>
  <c r="Z121" i="2" s="1"/>
  <c r="AN127" i="1"/>
  <c r="L120" i="2" s="1" a="1"/>
  <c r="L120" i="2" s="1"/>
  <c r="Z120" i="2" s="1"/>
  <c r="AN126" i="1"/>
  <c r="L119" i="2" s="1" a="1"/>
  <c r="L119" i="2" s="1"/>
  <c r="Z119" i="2" s="1"/>
  <c r="AN125" i="1"/>
  <c r="L118" i="2" s="1" a="1"/>
  <c r="L118" i="2" s="1"/>
  <c r="Z118" i="2" s="1"/>
  <c r="AN124" i="1"/>
  <c r="L117" i="2" s="1" a="1"/>
  <c r="L117" i="2" s="1"/>
  <c r="Z117" i="2" s="1"/>
  <c r="AN123" i="1"/>
  <c r="L116" i="2" s="1" a="1"/>
  <c r="L116" i="2" s="1"/>
  <c r="Z116" i="2" s="1"/>
  <c r="AN122" i="1"/>
  <c r="L115" i="2" s="1" a="1"/>
  <c r="L115" i="2" s="1"/>
  <c r="Z115" i="2" s="1"/>
  <c r="AN121" i="1"/>
  <c r="L114" i="2" s="1" a="1"/>
  <c r="L114" i="2" s="1"/>
  <c r="Z114" i="2" s="1"/>
  <c r="AN119" i="1"/>
  <c r="L113" i="2" s="1" a="1"/>
  <c r="L113" i="2" s="1"/>
  <c r="Z113" i="2" s="1"/>
  <c r="AN120" i="1"/>
  <c r="L112" i="2" s="1" a="1"/>
  <c r="L112" i="2" s="1"/>
  <c r="Z112" i="2" s="1"/>
  <c r="AN118" i="1"/>
  <c r="L111" i="2" s="1" a="1"/>
  <c r="L111" i="2" s="1"/>
  <c r="Z111" i="2" s="1"/>
  <c r="AN117" i="1"/>
  <c r="L110" i="2" s="1" a="1"/>
  <c r="L110" i="2" s="1"/>
  <c r="Z110" i="2" s="1"/>
  <c r="AN116" i="1"/>
  <c r="L109" i="2" s="1" a="1"/>
  <c r="L109" i="2" s="1"/>
  <c r="Z109" i="2" s="1"/>
  <c r="AN115" i="1"/>
  <c r="L108" i="2" s="1" a="1"/>
  <c r="L108" i="2" s="1"/>
  <c r="Z108" i="2" s="1"/>
  <c r="AN114" i="1"/>
  <c r="L107" i="2" s="1" a="1"/>
  <c r="L107" i="2" s="1"/>
  <c r="Z107" i="2" s="1"/>
  <c r="L106" i="2" a="1"/>
  <c r="L106" i="2" s="1"/>
  <c r="Z106" i="2" s="1"/>
  <c r="AN112" i="1"/>
  <c r="L105" i="2" s="1" a="1"/>
  <c r="L105" i="2" s="1"/>
  <c r="Z105" i="2" s="1"/>
  <c r="AN111" i="1"/>
  <c r="L104" i="2" s="1" a="1"/>
  <c r="L104" i="2" s="1"/>
  <c r="Z104" i="2" s="1"/>
  <c r="AN110" i="1"/>
  <c r="L103" i="2" s="1" a="1"/>
  <c r="L103" i="2" s="1"/>
  <c r="Z103" i="2" s="1"/>
  <c r="AN109" i="1"/>
  <c r="L102" i="2" s="1" a="1"/>
  <c r="L102" i="2" s="1"/>
  <c r="Z102" i="2" s="1"/>
  <c r="AN108" i="1"/>
  <c r="L101" i="2" s="1" a="1"/>
  <c r="L101" i="2" s="1"/>
  <c r="Z101" i="2" s="1"/>
  <c r="AN107" i="1"/>
  <c r="L100" i="2" s="1" a="1"/>
  <c r="L100" i="2" s="1"/>
  <c r="Z100" i="2" s="1"/>
  <c r="AN105" i="1"/>
  <c r="L99" i="2" s="1" a="1"/>
  <c r="L99" i="2" s="1"/>
  <c r="Z99" i="2" s="1"/>
  <c r="AN106" i="1"/>
  <c r="L98" i="2" s="1" a="1"/>
  <c r="L98" i="2" s="1"/>
  <c r="Z98" i="2" s="1"/>
  <c r="AN104" i="1"/>
  <c r="L97" i="2" s="1" a="1"/>
  <c r="L97" i="2" s="1"/>
  <c r="Z97" i="2" s="1"/>
  <c r="AN103" i="1"/>
  <c r="L96" i="2" s="1" a="1"/>
  <c r="L96" i="2" s="1"/>
  <c r="Z96" i="2" s="1"/>
  <c r="AN102" i="1"/>
  <c r="L95" i="2" s="1" a="1"/>
  <c r="L95" i="2" s="1"/>
  <c r="Z95" i="2" s="1"/>
  <c r="L94" i="2" a="1"/>
  <c r="L94" i="2" s="1"/>
  <c r="Z94" i="2" s="1"/>
  <c r="AN93" i="1"/>
  <c r="L93" i="2" s="1" a="1"/>
  <c r="L93" i="2" s="1"/>
  <c r="Z93" i="2" s="1"/>
  <c r="AN92" i="1"/>
  <c r="L92" i="2" s="1" a="1"/>
  <c r="L92" i="2" s="1"/>
  <c r="Z92" i="2" s="1"/>
  <c r="AN91" i="1"/>
  <c r="L91" i="2" s="1" a="1"/>
  <c r="L91" i="2" s="1"/>
  <c r="Z91" i="2" s="1"/>
  <c r="AN90" i="1"/>
  <c r="L90" i="2" s="1" a="1"/>
  <c r="L90" i="2" s="1"/>
  <c r="Z90" i="2" s="1"/>
  <c r="AN89" i="1"/>
  <c r="L89" i="2" s="1" a="1"/>
  <c r="L89" i="2" s="1"/>
  <c r="Z89" i="2" s="1"/>
  <c r="AN88" i="1"/>
  <c r="L88" i="2" s="1" a="1"/>
  <c r="L88" i="2" s="1"/>
  <c r="Z88" i="2" s="1"/>
  <c r="AN87" i="1"/>
  <c r="L87" i="2" s="1" a="1"/>
  <c r="L87" i="2" s="1"/>
  <c r="Z87" i="2" s="1"/>
  <c r="AN86" i="1"/>
  <c r="L86" i="2" s="1" a="1"/>
  <c r="L86" i="2" s="1"/>
  <c r="Z86" i="2" s="1"/>
  <c r="AN85" i="1"/>
  <c r="L85" i="2" s="1" a="1"/>
  <c r="L85" i="2" s="1"/>
  <c r="Z85" i="2" s="1"/>
  <c r="AN84" i="1"/>
  <c r="L84" i="2" s="1" a="1"/>
  <c r="L84" i="2" s="1"/>
  <c r="Z84" i="2" s="1"/>
  <c r="AN83" i="1"/>
  <c r="L83" i="2" s="1" a="1"/>
  <c r="L83" i="2" s="1"/>
  <c r="Z83" i="2" s="1"/>
  <c r="AN82" i="1"/>
  <c r="L82" i="2" s="1" a="1"/>
  <c r="L82" i="2" s="1"/>
  <c r="Z82" i="2" s="1"/>
  <c r="AN81" i="1"/>
  <c r="L81" i="2" s="1" a="1"/>
  <c r="L81" i="2" s="1"/>
  <c r="Z81" i="2" s="1"/>
  <c r="AN80" i="1"/>
  <c r="L80" i="2" s="1" a="1"/>
  <c r="L80" i="2" s="1"/>
  <c r="Z80" i="2" s="1"/>
  <c r="AN79" i="1"/>
  <c r="L79" i="2" s="1" a="1"/>
  <c r="L79" i="2" s="1"/>
  <c r="Z79" i="2" s="1"/>
  <c r="AN78" i="1"/>
  <c r="L78" i="2" s="1" a="1"/>
  <c r="L78" i="2" s="1"/>
  <c r="Z78" i="2" s="1"/>
  <c r="AN77" i="1"/>
  <c r="L77" i="2" s="1" a="1"/>
  <c r="L77" i="2" s="1"/>
  <c r="Z77" i="2" s="1"/>
  <c r="AN76" i="1"/>
  <c r="L76" i="2" s="1" a="1"/>
  <c r="L76" i="2" s="1"/>
  <c r="Z76" i="2" s="1"/>
  <c r="AN75" i="1"/>
  <c r="L75" i="2" s="1" a="1"/>
  <c r="L75" i="2" s="1"/>
  <c r="Z75" i="2" s="1"/>
  <c r="AN74" i="1"/>
  <c r="L74" i="2" s="1" a="1"/>
  <c r="L74" i="2" s="1"/>
  <c r="Z74" i="2" s="1"/>
  <c r="AN73" i="1"/>
  <c r="L73" i="2" s="1" a="1"/>
  <c r="L73" i="2" s="1"/>
  <c r="Z73" i="2" s="1"/>
  <c r="AN72" i="1"/>
  <c r="L72" i="2" s="1" a="1"/>
  <c r="L72" i="2" s="1"/>
  <c r="Z72" i="2" s="1"/>
  <c r="AN71" i="1"/>
  <c r="L71" i="2" s="1" a="1"/>
  <c r="L71" i="2" s="1"/>
  <c r="Z71" i="2" s="1"/>
  <c r="AN70" i="1"/>
  <c r="L70" i="2" s="1" a="1"/>
  <c r="L70" i="2" s="1"/>
  <c r="Z70" i="2" s="1"/>
  <c r="AN69" i="1"/>
  <c r="L69" i="2" s="1" a="1"/>
  <c r="L69" i="2" s="1"/>
  <c r="Z69" i="2" s="1"/>
  <c r="AN68" i="1"/>
  <c r="L68" i="2" s="1" a="1"/>
  <c r="L68" i="2" s="1"/>
  <c r="Z68" i="2" s="1"/>
  <c r="AN67" i="1"/>
  <c r="L67" i="2" s="1" a="1"/>
  <c r="L67" i="2" s="1"/>
  <c r="Z67" i="2" s="1"/>
  <c r="AN66" i="1"/>
  <c r="L66" i="2" s="1" a="1"/>
  <c r="L66" i="2" s="1"/>
  <c r="Z66" i="2" s="1"/>
  <c r="AN65" i="1"/>
  <c r="L65" i="2" s="1" a="1"/>
  <c r="L65" i="2" s="1"/>
  <c r="Z65" i="2" s="1"/>
  <c r="AN64" i="1"/>
  <c r="L64" i="2" s="1" a="1"/>
  <c r="L64" i="2" s="1"/>
  <c r="Z64" i="2" s="1"/>
  <c r="AN63" i="1"/>
  <c r="L63" i="2" s="1" a="1"/>
  <c r="L63" i="2" s="1"/>
  <c r="Z63" i="2" s="1"/>
  <c r="AN62" i="1"/>
  <c r="L62" i="2" s="1" a="1"/>
  <c r="L62" i="2" s="1"/>
  <c r="Z62" i="2" s="1"/>
  <c r="AN61" i="1"/>
  <c r="L61" i="2" s="1" a="1"/>
  <c r="L61" i="2" s="1"/>
  <c r="Z61" i="2" s="1"/>
  <c r="AN60" i="1"/>
  <c r="L60" i="2" s="1" a="1"/>
  <c r="L60" i="2" s="1"/>
  <c r="Z60" i="2" s="1"/>
  <c r="AN59" i="1"/>
  <c r="L59" i="2" s="1" a="1"/>
  <c r="L59" i="2" s="1"/>
  <c r="Z59" i="2" s="1"/>
  <c r="AN58" i="1"/>
  <c r="L58" i="2" s="1" a="1"/>
  <c r="L58" i="2" s="1"/>
  <c r="Z58" i="2" s="1"/>
  <c r="AN57" i="1"/>
  <c r="L57" i="2" s="1" a="1"/>
  <c r="L57" i="2" s="1"/>
  <c r="Z57" i="2" s="1"/>
  <c r="AN56" i="1"/>
  <c r="L56" i="2" s="1" a="1"/>
  <c r="L56" i="2" s="1"/>
  <c r="Z56" i="2" s="1"/>
  <c r="AN55" i="1"/>
  <c r="L55" i="2" s="1" a="1"/>
  <c r="L55" i="2" s="1"/>
  <c r="Z55" i="2" s="1"/>
  <c r="AN54" i="1"/>
  <c r="L54" i="2" s="1" a="1"/>
  <c r="L54" i="2" s="1"/>
  <c r="Z54" i="2" s="1"/>
  <c r="AN53" i="1"/>
  <c r="L53" i="2" s="1" a="1"/>
  <c r="L53" i="2" s="1"/>
  <c r="Z53" i="2" s="1"/>
  <c r="AN52" i="1"/>
  <c r="L52" i="2" s="1" a="1"/>
  <c r="L52" i="2" s="1"/>
  <c r="Z52" i="2" s="1"/>
  <c r="AN51" i="1"/>
  <c r="L51" i="2" s="1" a="1"/>
  <c r="L51" i="2" s="1"/>
  <c r="Z51" i="2" s="1"/>
  <c r="AN50" i="1"/>
  <c r="L50" i="2" s="1" a="1"/>
  <c r="L50" i="2" s="1"/>
  <c r="Z50" i="2" s="1"/>
  <c r="AN49" i="1"/>
  <c r="L49" i="2" s="1" a="1"/>
  <c r="L49" i="2" s="1"/>
  <c r="Z49" i="2" s="1"/>
  <c r="AN48" i="1"/>
  <c r="L48" i="2" s="1" a="1"/>
  <c r="L48" i="2" s="1"/>
  <c r="Z48" i="2" s="1"/>
  <c r="AN47" i="1"/>
  <c r="L47" i="2" s="1" a="1"/>
  <c r="L47" i="2" s="1"/>
  <c r="Z47" i="2" s="1"/>
  <c r="AN46" i="1"/>
  <c r="L46" i="2" s="1" a="1"/>
  <c r="L46" i="2" s="1"/>
  <c r="Z46" i="2" s="1"/>
  <c r="AN45" i="1"/>
  <c r="L45" i="2" s="1" a="1"/>
  <c r="L45" i="2" s="1"/>
  <c r="Z45" i="2" s="1"/>
  <c r="AN44" i="1"/>
  <c r="L44" i="2" s="1" a="1"/>
  <c r="L44" i="2" s="1"/>
  <c r="Z44" i="2" s="1"/>
  <c r="AN43" i="1"/>
  <c r="L43" i="2" s="1" a="1"/>
  <c r="L43" i="2" s="1"/>
  <c r="Z43" i="2" s="1"/>
  <c r="AN42" i="1"/>
  <c r="L42" i="2" s="1" a="1"/>
  <c r="L42" i="2" s="1"/>
  <c r="Z42" i="2" s="1"/>
  <c r="AN41" i="1"/>
  <c r="L41" i="2" s="1" a="1"/>
  <c r="L41" i="2" s="1"/>
  <c r="Z41" i="2" s="1"/>
  <c r="AN40" i="1"/>
  <c r="L40" i="2" s="1" a="1"/>
  <c r="L40" i="2" s="1"/>
  <c r="Z40" i="2" s="1"/>
  <c r="AN39" i="1"/>
  <c r="L39" i="2" s="1" a="1"/>
  <c r="L39" i="2" s="1"/>
  <c r="Z39" i="2" s="1"/>
  <c r="AN38" i="1"/>
  <c r="L38" i="2" s="1" a="1"/>
  <c r="L38" i="2" s="1"/>
  <c r="Z38" i="2" s="1"/>
  <c r="AN37" i="1"/>
  <c r="L37" i="2" s="1" a="1"/>
  <c r="L37" i="2" s="1"/>
  <c r="Z37" i="2" s="1"/>
  <c r="AN36" i="1"/>
  <c r="L36" i="2" s="1" a="1"/>
  <c r="L36" i="2" s="1"/>
  <c r="Z36" i="2" s="1"/>
  <c r="AN35" i="1"/>
  <c r="L35" i="2" s="1" a="1"/>
  <c r="L35" i="2" s="1"/>
  <c r="Z35" i="2" s="1"/>
  <c r="AN34" i="1"/>
  <c r="L34" i="2" s="1" a="1"/>
  <c r="L34" i="2" s="1"/>
  <c r="Z34" i="2" s="1"/>
  <c r="AN33" i="1"/>
  <c r="L33" i="2" s="1" a="1"/>
  <c r="L33" i="2" s="1"/>
  <c r="Z33" i="2" s="1"/>
  <c r="AN32" i="1"/>
  <c r="L32" i="2" s="1" a="1"/>
  <c r="L32" i="2" s="1"/>
  <c r="Z32" i="2" s="1"/>
  <c r="AN31" i="1"/>
  <c r="L31" i="2" s="1" a="1"/>
  <c r="L31" i="2" s="1"/>
  <c r="Z31" i="2" s="1"/>
  <c r="AN30" i="1"/>
  <c r="L30" i="2" s="1" a="1"/>
  <c r="L30" i="2" s="1"/>
  <c r="Z30" i="2" s="1"/>
  <c r="AN29" i="1"/>
  <c r="L29" i="2" s="1" a="1"/>
  <c r="L29" i="2" s="1"/>
  <c r="Z29" i="2" s="1"/>
  <c r="AN28" i="1"/>
  <c r="L28" i="2" s="1" a="1"/>
  <c r="L28" i="2" s="1"/>
  <c r="Z28" i="2" s="1"/>
  <c r="AN27" i="1"/>
  <c r="L27" i="2" s="1" a="1"/>
  <c r="L27" i="2" s="1"/>
  <c r="Z27" i="2" s="1"/>
  <c r="AN26" i="1"/>
  <c r="L26" i="2" s="1" a="1"/>
  <c r="L26" i="2" s="1"/>
  <c r="Z26" i="2" s="1"/>
  <c r="AN25" i="1"/>
  <c r="L25" i="2" s="1" a="1"/>
  <c r="L25" i="2" s="1"/>
  <c r="Z25" i="2" s="1"/>
  <c r="AN24" i="1"/>
  <c r="L24" i="2" s="1" a="1"/>
  <c r="L24" i="2" s="1"/>
  <c r="Z24" i="2" s="1"/>
  <c r="AN23" i="1"/>
  <c r="L23" i="2" s="1" a="1"/>
  <c r="L23" i="2" s="1"/>
  <c r="Z23" i="2" s="1"/>
  <c r="AN21" i="1"/>
  <c r="L22" i="2" s="1" a="1"/>
  <c r="L22" i="2" s="1"/>
  <c r="Z22" i="2" s="1"/>
  <c r="AN20" i="1"/>
  <c r="L21" i="2" s="1" a="1"/>
  <c r="L21" i="2" s="1"/>
  <c r="Z21" i="2" s="1"/>
  <c r="AN19" i="1"/>
  <c r="L20" i="2" s="1" a="1"/>
  <c r="L20" i="2" s="1"/>
  <c r="Z20" i="2" s="1"/>
  <c r="AN22" i="1"/>
  <c r="L19" i="2" s="1" a="1"/>
  <c r="L19" i="2" s="1"/>
  <c r="Z19" i="2" s="1"/>
  <c r="AN18" i="1"/>
  <c r="L18" i="2" s="1" a="1"/>
  <c r="L18" i="2" s="1"/>
  <c r="Z18" i="2" s="1"/>
  <c r="AN17" i="1"/>
  <c r="L17" i="2" s="1" a="1"/>
  <c r="L17" i="2" s="1"/>
  <c r="Z17" i="2" s="1"/>
  <c r="AN16" i="1"/>
  <c r="L16" i="2" s="1" a="1"/>
  <c r="L16" i="2" s="1"/>
  <c r="Z16" i="2" s="1"/>
  <c r="AN14" i="1"/>
  <c r="L15" i="2" s="1" a="1"/>
  <c r="L15" i="2" s="1"/>
  <c r="Z15" i="2" s="1"/>
  <c r="AN15" i="1"/>
  <c r="L14" i="2" s="1" a="1"/>
  <c r="L14" i="2" s="1"/>
  <c r="Z14" i="2" s="1"/>
  <c r="AN13" i="1"/>
  <c r="L13" i="2" s="1" a="1"/>
  <c r="L13" i="2" s="1"/>
  <c r="Z13" i="2" s="1"/>
  <c r="AN12" i="1"/>
  <c r="L12" i="2" s="1" a="1"/>
  <c r="L12" i="2" s="1"/>
  <c r="Z12" i="2" s="1"/>
  <c r="AN11" i="1"/>
  <c r="L11" i="2" s="1" a="1"/>
  <c r="L11" i="2" s="1"/>
  <c r="Z11" i="2" s="1"/>
  <c r="AN10" i="1"/>
  <c r="L10" i="2" s="1" a="1"/>
  <c r="L10" i="2" s="1"/>
  <c r="Z10" i="2" s="1"/>
  <c r="AN9" i="1"/>
  <c r="L9" i="2" s="1" a="1"/>
  <c r="L9" i="2" s="1"/>
  <c r="Z9" i="2" s="1"/>
  <c r="AN8" i="1"/>
  <c r="L8" i="2" s="1" a="1"/>
  <c r="L8" i="2" s="1"/>
  <c r="Z8" i="2" s="1"/>
  <c r="AN7" i="1"/>
  <c r="L7" i="2" s="1" a="1"/>
  <c r="L7" i="2" s="1"/>
  <c r="Z7" i="2" s="1"/>
  <c r="AN6" i="1"/>
  <c r="L6" i="2" s="1" a="1"/>
  <c r="L6" i="2" s="1"/>
  <c r="Z6" i="2" s="1"/>
  <c r="AN5" i="1"/>
  <c r="L5" i="2" s="1" a="1"/>
  <c r="L5" i="2" s="1"/>
  <c r="Z5" i="2" s="1"/>
  <c r="AN4" i="1"/>
  <c r="L4" i="2" s="1" a="1"/>
  <c r="L4" i="2" s="1"/>
  <c r="Z4" i="2" s="1"/>
  <c r="AN3" i="1"/>
  <c r="L3" i="2" s="1" a="1"/>
  <c r="L3" i="2" s="1"/>
  <c r="Z3" i="2" s="1"/>
  <c r="AN2" i="1"/>
  <c r="L2" i="2" s="1" a="1"/>
  <c r="L2" i="2" s="1"/>
  <c r="Z2" i="2" s="1"/>
  <c r="AJ135" i="1"/>
  <c r="K128" i="2" s="1" a="1"/>
  <c r="K128" i="2" s="1"/>
  <c r="Y128" i="2" s="1"/>
  <c r="AJ134" i="1"/>
  <c r="K127" i="2" s="1" a="1"/>
  <c r="K127" i="2" s="1"/>
  <c r="Y127" i="2" s="1"/>
  <c r="AJ133" i="1"/>
  <c r="K126" i="2" s="1" a="1"/>
  <c r="K126" i="2" s="1"/>
  <c r="Y126" i="2" s="1"/>
  <c r="AJ132" i="1"/>
  <c r="K125" i="2" s="1" a="1"/>
  <c r="K125" i="2" s="1"/>
  <c r="Y125" i="2" s="1"/>
  <c r="AJ131" i="1"/>
  <c r="K124" i="2" s="1" a="1"/>
  <c r="K124" i="2" s="1"/>
  <c r="Y124" i="2" s="1"/>
  <c r="AJ130" i="1"/>
  <c r="K123" i="2" s="1" a="1"/>
  <c r="K123" i="2" s="1"/>
  <c r="Y123" i="2" s="1"/>
  <c r="AJ129" i="1"/>
  <c r="K122" i="2" s="1" a="1"/>
  <c r="K122" i="2" s="1"/>
  <c r="Y122" i="2" s="1"/>
  <c r="AJ128" i="1"/>
  <c r="K121" i="2" s="1" a="1"/>
  <c r="K121" i="2" s="1"/>
  <c r="Y121" i="2" s="1"/>
  <c r="AJ127" i="1"/>
  <c r="K120" i="2" s="1" a="1"/>
  <c r="K120" i="2" s="1"/>
  <c r="Y120" i="2" s="1"/>
  <c r="AJ126" i="1"/>
  <c r="K119" i="2" s="1" a="1"/>
  <c r="K119" i="2" s="1"/>
  <c r="Y119" i="2" s="1"/>
  <c r="AJ125" i="1"/>
  <c r="K118" i="2" s="1" a="1"/>
  <c r="K118" i="2" s="1"/>
  <c r="Y118" i="2" s="1"/>
  <c r="AJ124" i="1"/>
  <c r="K117" i="2" s="1" a="1"/>
  <c r="K117" i="2" s="1"/>
  <c r="Y117" i="2" s="1"/>
  <c r="AJ123" i="1"/>
  <c r="K116" i="2" s="1" a="1"/>
  <c r="K116" i="2" s="1"/>
  <c r="Y116" i="2" s="1"/>
  <c r="AJ122" i="1"/>
  <c r="K115" i="2" s="1" a="1"/>
  <c r="K115" i="2" s="1"/>
  <c r="Y115" i="2" s="1"/>
  <c r="AJ121" i="1"/>
  <c r="K114" i="2" s="1" a="1"/>
  <c r="K114" i="2" s="1"/>
  <c r="Y114" i="2" s="1"/>
  <c r="AJ119" i="1"/>
  <c r="K113" i="2" s="1" a="1"/>
  <c r="K113" i="2" s="1"/>
  <c r="Y113" i="2" s="1"/>
  <c r="AJ120" i="1"/>
  <c r="K112" i="2" s="1" a="1"/>
  <c r="K112" i="2" s="1"/>
  <c r="Y112" i="2" s="1"/>
  <c r="AJ118" i="1"/>
  <c r="K111" i="2" s="1" a="1"/>
  <c r="K111" i="2" s="1"/>
  <c r="Y111" i="2" s="1"/>
  <c r="AJ117" i="1"/>
  <c r="K110" i="2" s="1" a="1"/>
  <c r="K110" i="2" s="1"/>
  <c r="Y110" i="2" s="1"/>
  <c r="AJ116" i="1"/>
  <c r="K109" i="2" s="1" a="1"/>
  <c r="K109" i="2" s="1"/>
  <c r="Y109" i="2" s="1"/>
  <c r="AJ115" i="1"/>
  <c r="K108" i="2" s="1" a="1"/>
  <c r="K108" i="2" s="1"/>
  <c r="Y108" i="2" s="1"/>
  <c r="AJ114" i="1"/>
  <c r="K107" i="2" s="1" a="1"/>
  <c r="K107" i="2" s="1"/>
  <c r="Y107" i="2" s="1"/>
  <c r="AJ113" i="1"/>
  <c r="K106" i="2" s="1" a="1"/>
  <c r="K106" i="2" s="1"/>
  <c r="Y106" i="2" s="1"/>
  <c r="AJ112" i="1"/>
  <c r="K105" i="2" s="1" a="1"/>
  <c r="K105" i="2" s="1"/>
  <c r="Y105" i="2" s="1"/>
  <c r="AJ111" i="1"/>
  <c r="K104" i="2" s="1" a="1"/>
  <c r="K104" i="2" s="1"/>
  <c r="Y104" i="2" s="1"/>
  <c r="AJ110" i="1"/>
  <c r="K103" i="2" s="1" a="1"/>
  <c r="K103" i="2" s="1"/>
  <c r="Y103" i="2" s="1"/>
  <c r="AJ109" i="1"/>
  <c r="K102" i="2" s="1" a="1"/>
  <c r="K102" i="2" s="1"/>
  <c r="Y102" i="2" s="1"/>
  <c r="AJ108" i="1"/>
  <c r="K101" i="2" s="1" a="1"/>
  <c r="K101" i="2" s="1"/>
  <c r="Y101" i="2" s="1"/>
  <c r="AJ107" i="1"/>
  <c r="K100" i="2" s="1" a="1"/>
  <c r="K100" i="2" s="1"/>
  <c r="Y100" i="2" s="1"/>
  <c r="AJ105" i="1"/>
  <c r="K99" i="2" s="1" a="1"/>
  <c r="K99" i="2" s="1"/>
  <c r="Y99" i="2" s="1"/>
  <c r="AJ106" i="1"/>
  <c r="K98" i="2" s="1" a="1"/>
  <c r="K98" i="2" s="1"/>
  <c r="Y98" i="2" s="1"/>
  <c r="AJ104" i="1"/>
  <c r="K97" i="2" s="1" a="1"/>
  <c r="K97" i="2" s="1"/>
  <c r="Y97" i="2" s="1"/>
  <c r="AJ103" i="1"/>
  <c r="K96" i="2" s="1" a="1"/>
  <c r="K96" i="2" s="1"/>
  <c r="Y96" i="2" s="1"/>
  <c r="AJ102" i="1"/>
  <c r="K95" i="2" s="1" a="1"/>
  <c r="K95" i="2" s="1"/>
  <c r="Y95" i="2" s="1"/>
  <c r="K94" i="2" a="1"/>
  <c r="K94" i="2" s="1"/>
  <c r="Y94" i="2" s="1"/>
  <c r="AJ93" i="1"/>
  <c r="K93" i="2" s="1" a="1"/>
  <c r="K93" i="2" s="1"/>
  <c r="Y93" i="2" s="1"/>
  <c r="AJ92" i="1"/>
  <c r="K92" i="2" s="1" a="1"/>
  <c r="K92" i="2" s="1"/>
  <c r="Y92" i="2" s="1"/>
  <c r="AJ91" i="1"/>
  <c r="K91" i="2" s="1" a="1"/>
  <c r="K91" i="2" s="1"/>
  <c r="Y91" i="2" s="1"/>
  <c r="AJ90" i="1"/>
  <c r="K90" i="2" s="1" a="1"/>
  <c r="K90" i="2" s="1"/>
  <c r="Y90" i="2" s="1"/>
  <c r="AJ89" i="1"/>
  <c r="K89" i="2" s="1" a="1"/>
  <c r="K89" i="2" s="1"/>
  <c r="Y89" i="2" s="1"/>
  <c r="AJ88" i="1"/>
  <c r="K88" i="2" s="1" a="1"/>
  <c r="K88" i="2" s="1"/>
  <c r="Y88" i="2" s="1"/>
  <c r="AJ87" i="1"/>
  <c r="K87" i="2" s="1" a="1"/>
  <c r="K87" i="2" s="1"/>
  <c r="Y87" i="2" s="1"/>
  <c r="AJ86" i="1"/>
  <c r="K86" i="2" s="1" a="1"/>
  <c r="K86" i="2" s="1"/>
  <c r="Y86" i="2" s="1"/>
  <c r="AJ85" i="1"/>
  <c r="K85" i="2" s="1" a="1"/>
  <c r="K85" i="2" s="1"/>
  <c r="Y85" i="2" s="1"/>
  <c r="AJ84" i="1"/>
  <c r="K84" i="2" s="1" a="1"/>
  <c r="K84" i="2" s="1"/>
  <c r="Y84" i="2" s="1"/>
  <c r="AJ83" i="1"/>
  <c r="K83" i="2" s="1" a="1"/>
  <c r="K83" i="2" s="1"/>
  <c r="Y83" i="2" s="1"/>
  <c r="AJ82" i="1"/>
  <c r="K82" i="2" s="1" a="1"/>
  <c r="K82" i="2" s="1"/>
  <c r="Y82" i="2" s="1"/>
  <c r="AJ81" i="1"/>
  <c r="K81" i="2" s="1" a="1"/>
  <c r="K81" i="2" s="1"/>
  <c r="Y81" i="2" s="1"/>
  <c r="AJ80" i="1"/>
  <c r="K80" i="2" s="1" a="1"/>
  <c r="K80" i="2" s="1"/>
  <c r="Y80" i="2" s="1"/>
  <c r="AJ79" i="1"/>
  <c r="K79" i="2" s="1" a="1"/>
  <c r="K79" i="2" s="1"/>
  <c r="Y79" i="2" s="1"/>
  <c r="AJ78" i="1"/>
  <c r="K78" i="2" s="1" a="1"/>
  <c r="K78" i="2" s="1"/>
  <c r="Y78" i="2" s="1"/>
  <c r="AJ77" i="1"/>
  <c r="K77" i="2" s="1" a="1"/>
  <c r="K77" i="2" s="1"/>
  <c r="Y77" i="2" s="1"/>
  <c r="AJ76" i="1"/>
  <c r="K76" i="2" s="1" a="1"/>
  <c r="K76" i="2" s="1"/>
  <c r="Y76" i="2" s="1"/>
  <c r="AJ75" i="1"/>
  <c r="K75" i="2" s="1" a="1"/>
  <c r="K75" i="2" s="1"/>
  <c r="Y75" i="2" s="1"/>
  <c r="AJ74" i="1"/>
  <c r="K74" i="2" s="1" a="1"/>
  <c r="K74" i="2" s="1"/>
  <c r="Y74" i="2" s="1"/>
  <c r="AJ73" i="1"/>
  <c r="K73" i="2" s="1" a="1"/>
  <c r="K73" i="2" s="1"/>
  <c r="Y73" i="2" s="1"/>
  <c r="AJ72" i="1"/>
  <c r="K72" i="2" s="1" a="1"/>
  <c r="K72" i="2" s="1"/>
  <c r="Y72" i="2" s="1"/>
  <c r="AJ71" i="1"/>
  <c r="K71" i="2" s="1" a="1"/>
  <c r="K71" i="2" s="1"/>
  <c r="Y71" i="2" s="1"/>
  <c r="AJ70" i="1"/>
  <c r="K70" i="2" s="1" a="1"/>
  <c r="K70" i="2" s="1"/>
  <c r="Y70" i="2" s="1"/>
  <c r="AJ69" i="1"/>
  <c r="K69" i="2" s="1" a="1"/>
  <c r="K69" i="2" s="1"/>
  <c r="Y69" i="2" s="1"/>
  <c r="AJ68" i="1"/>
  <c r="K68" i="2" s="1" a="1"/>
  <c r="K68" i="2" s="1"/>
  <c r="Y68" i="2" s="1"/>
  <c r="AJ67" i="1"/>
  <c r="K67" i="2" s="1" a="1"/>
  <c r="K67" i="2" s="1"/>
  <c r="Y67" i="2" s="1"/>
  <c r="AJ66" i="1"/>
  <c r="K66" i="2" s="1" a="1"/>
  <c r="K66" i="2" s="1"/>
  <c r="Y66" i="2" s="1"/>
  <c r="AJ65" i="1"/>
  <c r="K65" i="2" s="1" a="1"/>
  <c r="K65" i="2" s="1"/>
  <c r="Y65" i="2" s="1"/>
  <c r="AJ64" i="1"/>
  <c r="K64" i="2" s="1" a="1"/>
  <c r="K64" i="2" s="1"/>
  <c r="Y64" i="2" s="1"/>
  <c r="AJ63" i="1"/>
  <c r="K63" i="2" s="1" a="1"/>
  <c r="K63" i="2" s="1"/>
  <c r="Y63" i="2" s="1"/>
  <c r="AJ62" i="1"/>
  <c r="K62" i="2" s="1" a="1"/>
  <c r="K62" i="2" s="1"/>
  <c r="Y62" i="2" s="1"/>
  <c r="AJ61" i="1"/>
  <c r="K61" i="2" s="1" a="1"/>
  <c r="K61" i="2" s="1"/>
  <c r="Y61" i="2" s="1"/>
  <c r="AJ60" i="1"/>
  <c r="K60" i="2" s="1" a="1"/>
  <c r="K60" i="2" s="1"/>
  <c r="Y60" i="2" s="1"/>
  <c r="AJ59" i="1"/>
  <c r="K59" i="2" s="1" a="1"/>
  <c r="K59" i="2" s="1"/>
  <c r="Y59" i="2" s="1"/>
  <c r="AJ58" i="1"/>
  <c r="K58" i="2" s="1" a="1"/>
  <c r="K58" i="2" s="1"/>
  <c r="Y58" i="2" s="1"/>
  <c r="AJ57" i="1"/>
  <c r="K57" i="2" s="1" a="1"/>
  <c r="K57" i="2" s="1"/>
  <c r="Y57" i="2" s="1"/>
  <c r="AJ56" i="1"/>
  <c r="K56" i="2" s="1" a="1"/>
  <c r="K56" i="2" s="1"/>
  <c r="Y56" i="2" s="1"/>
  <c r="AJ55" i="1"/>
  <c r="K55" i="2" s="1" a="1"/>
  <c r="K55" i="2" s="1"/>
  <c r="Y55" i="2" s="1"/>
  <c r="AJ54" i="1"/>
  <c r="K54" i="2" s="1" a="1"/>
  <c r="K54" i="2" s="1"/>
  <c r="Y54" i="2" s="1"/>
  <c r="AJ53" i="1"/>
  <c r="K53" i="2" s="1" a="1"/>
  <c r="K53" i="2" s="1"/>
  <c r="Y53" i="2" s="1"/>
  <c r="AJ52" i="1"/>
  <c r="K52" i="2" s="1" a="1"/>
  <c r="K52" i="2" s="1"/>
  <c r="Y52" i="2" s="1"/>
  <c r="AJ51" i="1"/>
  <c r="K51" i="2" s="1" a="1"/>
  <c r="K51" i="2" s="1"/>
  <c r="Y51" i="2" s="1"/>
  <c r="AJ50" i="1"/>
  <c r="K50" i="2" s="1" a="1"/>
  <c r="K50" i="2" s="1"/>
  <c r="Y50" i="2" s="1"/>
  <c r="AJ49" i="1"/>
  <c r="K49" i="2" s="1" a="1"/>
  <c r="K49" i="2" s="1"/>
  <c r="Y49" i="2" s="1"/>
  <c r="AJ48" i="1"/>
  <c r="K48" i="2" s="1" a="1"/>
  <c r="K48" i="2" s="1"/>
  <c r="Y48" i="2" s="1"/>
  <c r="AJ47" i="1"/>
  <c r="K47" i="2" s="1" a="1"/>
  <c r="K47" i="2" s="1"/>
  <c r="Y47" i="2" s="1"/>
  <c r="AJ46" i="1"/>
  <c r="K46" i="2" s="1" a="1"/>
  <c r="K46" i="2" s="1"/>
  <c r="Y46" i="2" s="1"/>
  <c r="AJ45" i="1"/>
  <c r="K45" i="2" s="1" a="1"/>
  <c r="K45" i="2" s="1"/>
  <c r="Y45" i="2" s="1"/>
  <c r="AJ44" i="1"/>
  <c r="K44" i="2" s="1" a="1"/>
  <c r="K44" i="2" s="1"/>
  <c r="Y44" i="2" s="1"/>
  <c r="AJ43" i="1"/>
  <c r="K43" i="2" s="1" a="1"/>
  <c r="K43" i="2" s="1"/>
  <c r="Y43" i="2" s="1"/>
  <c r="AJ42" i="1"/>
  <c r="K42" i="2" s="1" a="1"/>
  <c r="K42" i="2" s="1"/>
  <c r="Y42" i="2" s="1"/>
  <c r="AJ41" i="1"/>
  <c r="K41" i="2" s="1" a="1"/>
  <c r="K41" i="2" s="1"/>
  <c r="Y41" i="2" s="1"/>
  <c r="AJ40" i="1"/>
  <c r="K40" i="2" s="1" a="1"/>
  <c r="K40" i="2" s="1"/>
  <c r="Y40" i="2" s="1"/>
  <c r="AJ39" i="1"/>
  <c r="K39" i="2" s="1" a="1"/>
  <c r="K39" i="2" s="1"/>
  <c r="Y39" i="2" s="1"/>
  <c r="AJ38" i="1"/>
  <c r="K38" i="2" s="1" a="1"/>
  <c r="K38" i="2" s="1"/>
  <c r="Y38" i="2" s="1"/>
  <c r="AJ37" i="1"/>
  <c r="K37" i="2" s="1" a="1"/>
  <c r="K37" i="2" s="1"/>
  <c r="Y37" i="2" s="1"/>
  <c r="AJ36" i="1"/>
  <c r="K36" i="2" s="1" a="1"/>
  <c r="K36" i="2" s="1"/>
  <c r="Y36" i="2" s="1"/>
  <c r="AJ35" i="1"/>
  <c r="K35" i="2" s="1" a="1"/>
  <c r="K35" i="2" s="1"/>
  <c r="Y35" i="2" s="1"/>
  <c r="AJ34" i="1"/>
  <c r="K34" i="2" s="1" a="1"/>
  <c r="K34" i="2" s="1"/>
  <c r="Y34" i="2" s="1"/>
  <c r="AJ33" i="1"/>
  <c r="K33" i="2" s="1" a="1"/>
  <c r="K33" i="2" s="1"/>
  <c r="Y33" i="2" s="1"/>
  <c r="AJ32" i="1"/>
  <c r="K32" i="2" s="1" a="1"/>
  <c r="K32" i="2" s="1"/>
  <c r="Y32" i="2" s="1"/>
  <c r="AJ31" i="1"/>
  <c r="K31" i="2" s="1" a="1"/>
  <c r="K31" i="2" s="1"/>
  <c r="Y31" i="2" s="1"/>
  <c r="AJ30" i="1"/>
  <c r="K30" i="2" s="1" a="1"/>
  <c r="K30" i="2" s="1"/>
  <c r="Y30" i="2" s="1"/>
  <c r="AJ29" i="1"/>
  <c r="K29" i="2" s="1" a="1"/>
  <c r="K29" i="2" s="1"/>
  <c r="Y29" i="2" s="1"/>
  <c r="AJ28" i="1"/>
  <c r="K28" i="2" s="1" a="1"/>
  <c r="K28" i="2" s="1"/>
  <c r="Y28" i="2" s="1"/>
  <c r="AJ27" i="1"/>
  <c r="K27" i="2" s="1" a="1"/>
  <c r="K27" i="2" s="1"/>
  <c r="Y27" i="2" s="1"/>
  <c r="AJ26" i="1"/>
  <c r="K26" i="2" s="1" a="1"/>
  <c r="K26" i="2" s="1"/>
  <c r="Y26" i="2" s="1"/>
  <c r="AJ25" i="1"/>
  <c r="K25" i="2" s="1" a="1"/>
  <c r="K25" i="2" s="1"/>
  <c r="Y25" i="2" s="1"/>
  <c r="AJ24" i="1"/>
  <c r="K24" i="2" s="1" a="1"/>
  <c r="K24" i="2" s="1"/>
  <c r="Y24" i="2" s="1"/>
  <c r="AJ23" i="1"/>
  <c r="K23" i="2" s="1" a="1"/>
  <c r="K23" i="2" s="1"/>
  <c r="Y23" i="2" s="1"/>
  <c r="AJ21" i="1"/>
  <c r="K22" i="2" s="1" a="1"/>
  <c r="K22" i="2" s="1"/>
  <c r="Y22" i="2" s="1"/>
  <c r="AJ20" i="1"/>
  <c r="K21" i="2" s="1" a="1"/>
  <c r="K21" i="2" s="1"/>
  <c r="Y21" i="2" s="1"/>
  <c r="AJ19" i="1"/>
  <c r="K20" i="2" s="1" a="1"/>
  <c r="K20" i="2" s="1"/>
  <c r="Y20" i="2" s="1"/>
  <c r="AJ22" i="1"/>
  <c r="K19" i="2" s="1" a="1"/>
  <c r="K19" i="2" s="1"/>
  <c r="Y19" i="2" s="1"/>
  <c r="AJ18" i="1"/>
  <c r="K18" i="2" s="1" a="1"/>
  <c r="K18" i="2" s="1"/>
  <c r="Y18" i="2" s="1"/>
  <c r="AJ17" i="1"/>
  <c r="K17" i="2" s="1" a="1"/>
  <c r="K17" i="2" s="1"/>
  <c r="Y17" i="2" s="1"/>
  <c r="AJ16" i="1"/>
  <c r="K16" i="2" s="1" a="1"/>
  <c r="K16" i="2" s="1"/>
  <c r="Y16" i="2" s="1"/>
  <c r="AJ14" i="1"/>
  <c r="K15" i="2" s="1" a="1"/>
  <c r="K15" i="2" s="1"/>
  <c r="Y15" i="2" s="1"/>
  <c r="AJ15" i="1"/>
  <c r="K14" i="2" s="1" a="1"/>
  <c r="K14" i="2" s="1"/>
  <c r="Y14" i="2" s="1"/>
  <c r="AJ13" i="1"/>
  <c r="K13" i="2" s="1" a="1"/>
  <c r="K13" i="2" s="1"/>
  <c r="Y13" i="2" s="1"/>
  <c r="AJ12" i="1"/>
  <c r="K12" i="2" s="1" a="1"/>
  <c r="K12" i="2" s="1"/>
  <c r="Y12" i="2" s="1"/>
  <c r="AJ11" i="1"/>
  <c r="K11" i="2" s="1" a="1"/>
  <c r="K11" i="2" s="1"/>
  <c r="Y11" i="2" s="1"/>
  <c r="AJ10" i="1"/>
  <c r="K10" i="2" s="1" a="1"/>
  <c r="K10" i="2" s="1"/>
  <c r="Y10" i="2" s="1"/>
  <c r="AJ9" i="1"/>
  <c r="K9" i="2" s="1" a="1"/>
  <c r="K9" i="2" s="1"/>
  <c r="Y9" i="2" s="1"/>
  <c r="AJ8" i="1"/>
  <c r="K8" i="2" s="1" a="1"/>
  <c r="K8" i="2" s="1"/>
  <c r="Y8" i="2" s="1"/>
  <c r="AJ7" i="1"/>
  <c r="K7" i="2" s="1" a="1"/>
  <c r="K7" i="2" s="1"/>
  <c r="Y7" i="2" s="1"/>
  <c r="AJ6" i="1"/>
  <c r="K6" i="2" s="1" a="1"/>
  <c r="K6" i="2" s="1"/>
  <c r="Y6" i="2" s="1"/>
  <c r="AJ5" i="1"/>
  <c r="K5" i="2" s="1" a="1"/>
  <c r="K5" i="2" s="1"/>
  <c r="Y5" i="2" s="1"/>
  <c r="AJ4" i="1"/>
  <c r="K4" i="2" s="1" a="1"/>
  <c r="K4" i="2" s="1"/>
  <c r="Y4" i="2" s="1"/>
  <c r="AJ3" i="1"/>
  <c r="K3" i="2" s="1" a="1"/>
  <c r="K3" i="2" s="1"/>
  <c r="Y3" i="2" s="1"/>
  <c r="AJ2" i="1"/>
  <c r="K2" i="2" s="1" a="1"/>
  <c r="K2" i="2" s="1"/>
  <c r="Y2" i="2" s="1"/>
  <c r="AF135" i="1"/>
  <c r="J128" i="2" s="1" a="1"/>
  <c r="J128" i="2" s="1"/>
  <c r="X128" i="2" s="1"/>
  <c r="AF134" i="1"/>
  <c r="J127" i="2" s="1" a="1"/>
  <c r="J127" i="2" s="1"/>
  <c r="X127" i="2" s="1"/>
  <c r="AF133" i="1"/>
  <c r="J126" i="2" s="1" a="1"/>
  <c r="J126" i="2" s="1"/>
  <c r="X126" i="2" s="1"/>
  <c r="AF132" i="1"/>
  <c r="J125" i="2" s="1" a="1"/>
  <c r="J125" i="2" s="1"/>
  <c r="X125" i="2" s="1"/>
  <c r="AF131" i="1"/>
  <c r="J124" i="2" s="1" a="1"/>
  <c r="J124" i="2" s="1"/>
  <c r="X124" i="2" s="1"/>
  <c r="AF130" i="1"/>
  <c r="J123" i="2" s="1" a="1"/>
  <c r="J123" i="2" s="1"/>
  <c r="X123" i="2" s="1"/>
  <c r="AF129" i="1"/>
  <c r="J122" i="2" s="1" a="1"/>
  <c r="J122" i="2" s="1"/>
  <c r="X122" i="2" s="1"/>
  <c r="AF128" i="1"/>
  <c r="J121" i="2" s="1" a="1"/>
  <c r="J121" i="2" s="1"/>
  <c r="X121" i="2" s="1"/>
  <c r="AF127" i="1"/>
  <c r="J120" i="2" s="1" a="1"/>
  <c r="J120" i="2" s="1"/>
  <c r="X120" i="2" s="1"/>
  <c r="AF126" i="1"/>
  <c r="J119" i="2" s="1" a="1"/>
  <c r="J119" i="2" s="1"/>
  <c r="X119" i="2" s="1"/>
  <c r="AF125" i="1"/>
  <c r="J118" i="2" s="1" a="1"/>
  <c r="J118" i="2" s="1"/>
  <c r="X118" i="2" s="1"/>
  <c r="AF124" i="1"/>
  <c r="J117" i="2" s="1" a="1"/>
  <c r="J117" i="2" s="1"/>
  <c r="X117" i="2" s="1"/>
  <c r="AF123" i="1"/>
  <c r="J116" i="2" s="1" a="1"/>
  <c r="J116" i="2" s="1"/>
  <c r="X116" i="2" s="1"/>
  <c r="AF122" i="1"/>
  <c r="J115" i="2" s="1" a="1"/>
  <c r="J115" i="2" s="1"/>
  <c r="X115" i="2" s="1"/>
  <c r="AF121" i="1"/>
  <c r="J114" i="2" s="1" a="1"/>
  <c r="J114" i="2" s="1"/>
  <c r="X114" i="2" s="1"/>
  <c r="AF119" i="1"/>
  <c r="J113" i="2" s="1" a="1"/>
  <c r="J113" i="2" s="1"/>
  <c r="X113" i="2" s="1"/>
  <c r="AF120" i="1"/>
  <c r="J112" i="2" s="1" a="1"/>
  <c r="J112" i="2" s="1"/>
  <c r="X112" i="2" s="1"/>
  <c r="AF118" i="1"/>
  <c r="J111" i="2" s="1" a="1"/>
  <c r="J111" i="2" s="1"/>
  <c r="X111" i="2" s="1"/>
  <c r="AF117" i="1"/>
  <c r="J110" i="2" s="1" a="1"/>
  <c r="J110" i="2" s="1"/>
  <c r="X110" i="2" s="1"/>
  <c r="AF116" i="1"/>
  <c r="J109" i="2" s="1" a="1"/>
  <c r="J109" i="2" s="1"/>
  <c r="X109" i="2" s="1"/>
  <c r="AF115" i="1"/>
  <c r="J108" i="2" s="1" a="1"/>
  <c r="J108" i="2" s="1"/>
  <c r="X108" i="2" s="1"/>
  <c r="AF114" i="1"/>
  <c r="J107" i="2" s="1" a="1"/>
  <c r="J107" i="2" s="1"/>
  <c r="X107" i="2" s="1"/>
  <c r="AF113" i="1"/>
  <c r="J106" i="2" s="1" a="1"/>
  <c r="J106" i="2" s="1"/>
  <c r="X106" i="2" s="1"/>
  <c r="AF112" i="1"/>
  <c r="J105" i="2" s="1" a="1"/>
  <c r="J105" i="2" s="1"/>
  <c r="X105" i="2" s="1"/>
  <c r="AF111" i="1"/>
  <c r="J104" i="2" s="1" a="1"/>
  <c r="J104" i="2" s="1"/>
  <c r="X104" i="2" s="1"/>
  <c r="AF110" i="1"/>
  <c r="J103" i="2" s="1" a="1"/>
  <c r="J103" i="2" s="1"/>
  <c r="X103" i="2" s="1"/>
  <c r="AF109" i="1"/>
  <c r="J102" i="2" s="1" a="1"/>
  <c r="J102" i="2" s="1"/>
  <c r="X102" i="2" s="1"/>
  <c r="AF108" i="1"/>
  <c r="J101" i="2" s="1" a="1"/>
  <c r="J101" i="2" s="1"/>
  <c r="X101" i="2" s="1"/>
  <c r="AF107" i="1"/>
  <c r="J100" i="2" s="1" a="1"/>
  <c r="J100" i="2" s="1"/>
  <c r="X100" i="2" s="1"/>
  <c r="AF105" i="1"/>
  <c r="J99" i="2" s="1" a="1"/>
  <c r="J99" i="2" s="1"/>
  <c r="X99" i="2" s="1"/>
  <c r="AF106" i="1"/>
  <c r="J98" i="2" s="1" a="1"/>
  <c r="J98" i="2" s="1"/>
  <c r="X98" i="2" s="1"/>
  <c r="AF104" i="1"/>
  <c r="J97" i="2" s="1" a="1"/>
  <c r="J97" i="2" s="1"/>
  <c r="X97" i="2" s="1"/>
  <c r="AF103" i="1"/>
  <c r="J96" i="2" s="1" a="1"/>
  <c r="J96" i="2" s="1"/>
  <c r="X96" i="2" s="1"/>
  <c r="AF102" i="1"/>
  <c r="J95" i="2" s="1" a="1"/>
  <c r="J95" i="2" s="1"/>
  <c r="X95" i="2" s="1"/>
  <c r="J94" i="2" a="1"/>
  <c r="J94" i="2" s="1"/>
  <c r="X94" i="2" s="1"/>
  <c r="J93" i="2" a="1"/>
  <c r="J93" i="2" s="1"/>
  <c r="X93" i="2" s="1"/>
  <c r="AF92" i="1"/>
  <c r="J92" i="2" s="1" a="1"/>
  <c r="J92" i="2" s="1"/>
  <c r="X92" i="2" s="1"/>
  <c r="AF91" i="1"/>
  <c r="J91" i="2" s="1" a="1"/>
  <c r="J91" i="2" s="1"/>
  <c r="X91" i="2" s="1"/>
  <c r="AF90" i="1"/>
  <c r="J90" i="2" s="1" a="1"/>
  <c r="J90" i="2" s="1"/>
  <c r="X90" i="2" s="1"/>
  <c r="AF89" i="1"/>
  <c r="J89" i="2" s="1" a="1"/>
  <c r="J89" i="2" s="1"/>
  <c r="X89" i="2" s="1"/>
  <c r="AF88" i="1"/>
  <c r="J88" i="2" s="1" a="1"/>
  <c r="J88" i="2" s="1"/>
  <c r="X88" i="2" s="1"/>
  <c r="AF87" i="1"/>
  <c r="J87" i="2" s="1" a="1"/>
  <c r="J87" i="2" s="1"/>
  <c r="X87" i="2" s="1"/>
  <c r="AF86" i="1"/>
  <c r="J86" i="2" s="1" a="1"/>
  <c r="J86" i="2" s="1"/>
  <c r="X86" i="2" s="1"/>
  <c r="AF85" i="1"/>
  <c r="J85" i="2" s="1" a="1"/>
  <c r="J85" i="2" s="1"/>
  <c r="X85" i="2" s="1"/>
  <c r="AF84" i="1"/>
  <c r="J84" i="2" s="1" a="1"/>
  <c r="J84" i="2" s="1"/>
  <c r="X84" i="2" s="1"/>
  <c r="AF83" i="1"/>
  <c r="J83" i="2" s="1" a="1"/>
  <c r="J83" i="2" s="1"/>
  <c r="X83" i="2" s="1"/>
  <c r="AF82" i="1"/>
  <c r="J82" i="2" s="1" a="1"/>
  <c r="J82" i="2" s="1"/>
  <c r="X82" i="2" s="1"/>
  <c r="AF81" i="1"/>
  <c r="J81" i="2" s="1" a="1"/>
  <c r="J81" i="2" s="1"/>
  <c r="X81" i="2" s="1"/>
  <c r="AF80" i="1"/>
  <c r="J80" i="2" s="1" a="1"/>
  <c r="J80" i="2" s="1"/>
  <c r="X80" i="2" s="1"/>
  <c r="AF79" i="1"/>
  <c r="J79" i="2" s="1" a="1"/>
  <c r="J79" i="2" s="1"/>
  <c r="X79" i="2" s="1"/>
  <c r="AF78" i="1"/>
  <c r="J78" i="2" s="1" a="1"/>
  <c r="J78" i="2" s="1"/>
  <c r="X78" i="2" s="1"/>
  <c r="AF77" i="1"/>
  <c r="J77" i="2" s="1" a="1"/>
  <c r="J77" i="2" s="1"/>
  <c r="X77" i="2" s="1"/>
  <c r="AF76" i="1"/>
  <c r="J76" i="2" s="1" a="1"/>
  <c r="J76" i="2" s="1"/>
  <c r="X76" i="2" s="1"/>
  <c r="AF75" i="1"/>
  <c r="J75" i="2" s="1" a="1"/>
  <c r="J75" i="2" s="1"/>
  <c r="X75" i="2" s="1"/>
  <c r="AF74" i="1"/>
  <c r="J74" i="2" s="1" a="1"/>
  <c r="J74" i="2" s="1"/>
  <c r="X74" i="2" s="1"/>
  <c r="AF73" i="1"/>
  <c r="J73" i="2" s="1" a="1"/>
  <c r="J73" i="2" s="1"/>
  <c r="X73" i="2" s="1"/>
  <c r="AF72" i="1"/>
  <c r="J72" i="2" s="1" a="1"/>
  <c r="J72" i="2" s="1"/>
  <c r="X72" i="2" s="1"/>
  <c r="AF71" i="1"/>
  <c r="J71" i="2" s="1" a="1"/>
  <c r="J71" i="2" s="1"/>
  <c r="X71" i="2" s="1"/>
  <c r="AF70" i="1"/>
  <c r="J70" i="2" s="1" a="1"/>
  <c r="J70" i="2" s="1"/>
  <c r="X70" i="2" s="1"/>
  <c r="AF69" i="1"/>
  <c r="J69" i="2" s="1" a="1"/>
  <c r="J69" i="2" s="1"/>
  <c r="X69" i="2" s="1"/>
  <c r="AF68" i="1"/>
  <c r="J68" i="2" s="1" a="1"/>
  <c r="J68" i="2" s="1"/>
  <c r="X68" i="2" s="1"/>
  <c r="AF67" i="1"/>
  <c r="J67" i="2" s="1" a="1"/>
  <c r="J67" i="2" s="1"/>
  <c r="X67" i="2" s="1"/>
  <c r="AF66" i="1"/>
  <c r="J66" i="2" s="1" a="1"/>
  <c r="J66" i="2" s="1"/>
  <c r="X66" i="2" s="1"/>
  <c r="AF65" i="1"/>
  <c r="J65" i="2" s="1" a="1"/>
  <c r="J65" i="2" s="1"/>
  <c r="X65" i="2" s="1"/>
  <c r="AF64" i="1"/>
  <c r="J64" i="2" s="1" a="1"/>
  <c r="J64" i="2" s="1"/>
  <c r="X64" i="2" s="1"/>
  <c r="AF63" i="1"/>
  <c r="J63" i="2" s="1" a="1"/>
  <c r="J63" i="2" s="1"/>
  <c r="X63" i="2" s="1"/>
  <c r="AF62" i="1"/>
  <c r="J62" i="2" s="1" a="1"/>
  <c r="J62" i="2" s="1"/>
  <c r="X62" i="2" s="1"/>
  <c r="AF61" i="1"/>
  <c r="J61" i="2" s="1" a="1"/>
  <c r="J61" i="2" s="1"/>
  <c r="X61" i="2" s="1"/>
  <c r="AF60" i="1"/>
  <c r="J60" i="2" s="1" a="1"/>
  <c r="J60" i="2" s="1"/>
  <c r="X60" i="2" s="1"/>
  <c r="AF59" i="1"/>
  <c r="J59" i="2" s="1" a="1"/>
  <c r="J59" i="2" s="1"/>
  <c r="X59" i="2" s="1"/>
  <c r="AF58" i="1"/>
  <c r="J58" i="2" s="1" a="1"/>
  <c r="J58" i="2" s="1"/>
  <c r="X58" i="2" s="1"/>
  <c r="AF57" i="1"/>
  <c r="J57" i="2" s="1" a="1"/>
  <c r="J57" i="2" s="1"/>
  <c r="X57" i="2" s="1"/>
  <c r="AF56" i="1"/>
  <c r="J56" i="2" s="1" a="1"/>
  <c r="J56" i="2" s="1"/>
  <c r="X56" i="2" s="1"/>
  <c r="AF55" i="1"/>
  <c r="J55" i="2" s="1" a="1"/>
  <c r="J55" i="2" s="1"/>
  <c r="X55" i="2" s="1"/>
  <c r="AF54" i="1"/>
  <c r="J54" i="2" s="1" a="1"/>
  <c r="J54" i="2" s="1"/>
  <c r="X54" i="2" s="1"/>
  <c r="AF53" i="1"/>
  <c r="J53" i="2" s="1" a="1"/>
  <c r="J53" i="2" s="1"/>
  <c r="X53" i="2" s="1"/>
  <c r="AF52" i="1"/>
  <c r="J52" i="2" s="1" a="1"/>
  <c r="J52" i="2" s="1"/>
  <c r="X52" i="2" s="1"/>
  <c r="AF51" i="1"/>
  <c r="J51" i="2" s="1" a="1"/>
  <c r="J51" i="2" s="1"/>
  <c r="X51" i="2" s="1"/>
  <c r="AF50" i="1"/>
  <c r="J50" i="2" s="1" a="1"/>
  <c r="J50" i="2" s="1"/>
  <c r="X50" i="2" s="1"/>
  <c r="AF49" i="1"/>
  <c r="J49" i="2" s="1" a="1"/>
  <c r="J49" i="2" s="1"/>
  <c r="X49" i="2" s="1"/>
  <c r="AF48" i="1"/>
  <c r="J48" i="2" s="1" a="1"/>
  <c r="J48" i="2" s="1"/>
  <c r="X48" i="2" s="1"/>
  <c r="AF47" i="1"/>
  <c r="J47" i="2" s="1" a="1"/>
  <c r="J47" i="2" s="1"/>
  <c r="X47" i="2" s="1"/>
  <c r="AF46" i="1"/>
  <c r="J46" i="2" s="1" a="1"/>
  <c r="J46" i="2" s="1"/>
  <c r="X46" i="2" s="1"/>
  <c r="AF45" i="1"/>
  <c r="J45" i="2" s="1" a="1"/>
  <c r="J45" i="2" s="1"/>
  <c r="X45" i="2" s="1"/>
  <c r="AF44" i="1"/>
  <c r="J44" i="2" s="1" a="1"/>
  <c r="J44" i="2" s="1"/>
  <c r="X44" i="2" s="1"/>
  <c r="AF43" i="1"/>
  <c r="J43" i="2" s="1" a="1"/>
  <c r="J43" i="2" s="1"/>
  <c r="X43" i="2" s="1"/>
  <c r="AF42" i="1"/>
  <c r="J42" i="2" s="1" a="1"/>
  <c r="J42" i="2" s="1"/>
  <c r="X42" i="2" s="1"/>
  <c r="AF41" i="1"/>
  <c r="J41" i="2" s="1" a="1"/>
  <c r="J41" i="2" s="1"/>
  <c r="X41" i="2" s="1"/>
  <c r="AF40" i="1"/>
  <c r="J40" i="2" s="1" a="1"/>
  <c r="J40" i="2" s="1"/>
  <c r="X40" i="2" s="1"/>
  <c r="AF39" i="1"/>
  <c r="J39" i="2" s="1" a="1"/>
  <c r="J39" i="2" s="1"/>
  <c r="X39" i="2" s="1"/>
  <c r="AF38" i="1"/>
  <c r="J38" i="2" s="1" a="1"/>
  <c r="J38" i="2" s="1"/>
  <c r="X38" i="2" s="1"/>
  <c r="AF37" i="1"/>
  <c r="J37" i="2" s="1" a="1"/>
  <c r="J37" i="2" s="1"/>
  <c r="X37" i="2" s="1"/>
  <c r="AF36" i="1"/>
  <c r="J36" i="2" s="1" a="1"/>
  <c r="J36" i="2" s="1"/>
  <c r="X36" i="2" s="1"/>
  <c r="AF35" i="1"/>
  <c r="J35" i="2" s="1" a="1"/>
  <c r="J35" i="2" s="1"/>
  <c r="X35" i="2" s="1"/>
  <c r="AF34" i="1"/>
  <c r="J34" i="2" s="1" a="1"/>
  <c r="J34" i="2" s="1"/>
  <c r="X34" i="2" s="1"/>
  <c r="AF33" i="1"/>
  <c r="J33" i="2" s="1" a="1"/>
  <c r="J33" i="2" s="1"/>
  <c r="X33" i="2" s="1"/>
  <c r="AF32" i="1"/>
  <c r="J32" i="2" s="1" a="1"/>
  <c r="J32" i="2" s="1"/>
  <c r="X32" i="2" s="1"/>
  <c r="AF31" i="1"/>
  <c r="J31" i="2" s="1" a="1"/>
  <c r="J31" i="2" s="1"/>
  <c r="X31" i="2" s="1"/>
  <c r="AF30" i="1"/>
  <c r="J30" i="2" s="1" a="1"/>
  <c r="J30" i="2" s="1"/>
  <c r="X30" i="2" s="1"/>
  <c r="AF29" i="1"/>
  <c r="J29" i="2" s="1" a="1"/>
  <c r="J29" i="2" s="1"/>
  <c r="X29" i="2" s="1"/>
  <c r="AF28" i="1"/>
  <c r="J28" i="2" s="1" a="1"/>
  <c r="J28" i="2" s="1"/>
  <c r="X28" i="2" s="1"/>
  <c r="AF27" i="1"/>
  <c r="J27" i="2" s="1" a="1"/>
  <c r="J27" i="2" s="1"/>
  <c r="X27" i="2" s="1"/>
  <c r="AF26" i="1"/>
  <c r="J26" i="2" s="1" a="1"/>
  <c r="J26" i="2" s="1"/>
  <c r="X26" i="2" s="1"/>
  <c r="AF25" i="1"/>
  <c r="J25" i="2" s="1" a="1"/>
  <c r="J25" i="2" s="1"/>
  <c r="X25" i="2" s="1"/>
  <c r="AF24" i="1"/>
  <c r="J24" i="2" s="1" a="1"/>
  <c r="J24" i="2" s="1"/>
  <c r="X24" i="2" s="1"/>
  <c r="AF23" i="1"/>
  <c r="J23" i="2" s="1" a="1"/>
  <c r="J23" i="2" s="1"/>
  <c r="X23" i="2" s="1"/>
  <c r="AF21" i="1"/>
  <c r="J22" i="2" s="1" a="1"/>
  <c r="J22" i="2" s="1"/>
  <c r="X22" i="2" s="1"/>
  <c r="AF20" i="1"/>
  <c r="J21" i="2" s="1" a="1"/>
  <c r="J21" i="2" s="1"/>
  <c r="X21" i="2" s="1"/>
  <c r="AF19" i="1"/>
  <c r="J20" i="2" s="1" a="1"/>
  <c r="J20" i="2" s="1"/>
  <c r="X20" i="2" s="1"/>
  <c r="AF22" i="1"/>
  <c r="J19" i="2" s="1" a="1"/>
  <c r="J19" i="2" s="1"/>
  <c r="X19" i="2" s="1"/>
  <c r="AF18" i="1"/>
  <c r="J18" i="2" s="1" a="1"/>
  <c r="J18" i="2" s="1"/>
  <c r="X18" i="2" s="1"/>
  <c r="AF17" i="1"/>
  <c r="J17" i="2" s="1" a="1"/>
  <c r="J17" i="2" s="1"/>
  <c r="X17" i="2" s="1"/>
  <c r="AF16" i="1"/>
  <c r="J16" i="2" s="1" a="1"/>
  <c r="J16" i="2" s="1"/>
  <c r="X16" i="2" s="1"/>
  <c r="AF14" i="1"/>
  <c r="J15" i="2" s="1" a="1"/>
  <c r="J15" i="2" s="1"/>
  <c r="X15" i="2" s="1"/>
  <c r="AF15" i="1"/>
  <c r="J14" i="2" s="1" a="1"/>
  <c r="J14" i="2" s="1"/>
  <c r="X14" i="2" s="1"/>
  <c r="AF13" i="1"/>
  <c r="J13" i="2" s="1" a="1"/>
  <c r="J13" i="2" s="1"/>
  <c r="X13" i="2" s="1"/>
  <c r="AF12" i="1"/>
  <c r="J12" i="2" s="1" a="1"/>
  <c r="J12" i="2" s="1"/>
  <c r="X12" i="2" s="1"/>
  <c r="AF11" i="1"/>
  <c r="J11" i="2" s="1" a="1"/>
  <c r="J11" i="2" s="1"/>
  <c r="X11" i="2" s="1"/>
  <c r="AF10" i="1"/>
  <c r="J10" i="2" s="1" a="1"/>
  <c r="J10" i="2" s="1"/>
  <c r="X10" i="2" s="1"/>
  <c r="AF9" i="1"/>
  <c r="J9" i="2" s="1" a="1"/>
  <c r="J9" i="2" s="1"/>
  <c r="X9" i="2" s="1"/>
  <c r="AF8" i="1"/>
  <c r="J8" i="2" s="1" a="1"/>
  <c r="J8" i="2" s="1"/>
  <c r="X8" i="2" s="1"/>
  <c r="AF7" i="1"/>
  <c r="J7" i="2" s="1" a="1"/>
  <c r="J7" i="2" s="1"/>
  <c r="X7" i="2" s="1"/>
  <c r="AF6" i="1"/>
  <c r="J6" i="2" s="1" a="1"/>
  <c r="J6" i="2" s="1"/>
  <c r="X6" i="2" s="1"/>
  <c r="AF5" i="1"/>
  <c r="J5" i="2" s="1" a="1"/>
  <c r="J5" i="2" s="1"/>
  <c r="X5" i="2" s="1"/>
  <c r="AF4" i="1"/>
  <c r="J4" i="2" s="1" a="1"/>
  <c r="J4" i="2" s="1"/>
  <c r="X4" i="2" s="1"/>
  <c r="AF3" i="1"/>
  <c r="J3" i="2" s="1" a="1"/>
  <c r="J3" i="2" s="1"/>
  <c r="X3" i="2" s="1"/>
  <c r="AF2" i="1"/>
  <c r="J2" i="2" s="1" a="1"/>
  <c r="J2" i="2" s="1"/>
  <c r="X2" i="2" s="1"/>
  <c r="AB135" i="1"/>
  <c r="I128" i="2" s="1" a="1"/>
  <c r="I128" i="2" s="1"/>
  <c r="W128" i="2" s="1"/>
  <c r="AB134" i="1"/>
  <c r="I127" i="2" s="1" a="1"/>
  <c r="I127" i="2" s="1"/>
  <c r="W127" i="2" s="1"/>
  <c r="AB133" i="1"/>
  <c r="I126" i="2" s="1" a="1"/>
  <c r="I126" i="2" s="1"/>
  <c r="W126" i="2" s="1"/>
  <c r="AB132" i="1"/>
  <c r="I125" i="2" s="1" a="1"/>
  <c r="I125" i="2" s="1"/>
  <c r="W125" i="2" s="1"/>
  <c r="AB131" i="1"/>
  <c r="I124" i="2" s="1" a="1"/>
  <c r="I124" i="2" s="1"/>
  <c r="W124" i="2" s="1"/>
  <c r="AB130" i="1"/>
  <c r="I123" i="2" s="1" a="1"/>
  <c r="I123" i="2" s="1"/>
  <c r="W123" i="2" s="1"/>
  <c r="AB129" i="1"/>
  <c r="I122" i="2" s="1" a="1"/>
  <c r="I122" i="2" s="1"/>
  <c r="W122" i="2" s="1"/>
  <c r="AB128" i="1"/>
  <c r="I121" i="2" s="1" a="1"/>
  <c r="I121" i="2" s="1"/>
  <c r="W121" i="2" s="1"/>
  <c r="AB127" i="1"/>
  <c r="I120" i="2" s="1" a="1"/>
  <c r="I120" i="2" s="1"/>
  <c r="W120" i="2" s="1"/>
  <c r="AB126" i="1"/>
  <c r="I119" i="2" s="1" a="1"/>
  <c r="I119" i="2" s="1"/>
  <c r="W119" i="2" s="1"/>
  <c r="AB125" i="1"/>
  <c r="I118" i="2" s="1" a="1"/>
  <c r="I118" i="2" s="1"/>
  <c r="W118" i="2" s="1"/>
  <c r="AB124" i="1"/>
  <c r="I117" i="2" s="1" a="1"/>
  <c r="I117" i="2" s="1"/>
  <c r="W117" i="2" s="1"/>
  <c r="AB123" i="1"/>
  <c r="I116" i="2" s="1" a="1"/>
  <c r="I116" i="2" s="1"/>
  <c r="W116" i="2" s="1"/>
  <c r="AB122" i="1"/>
  <c r="I115" i="2" s="1" a="1"/>
  <c r="I115" i="2" s="1"/>
  <c r="W115" i="2" s="1"/>
  <c r="AB121" i="1"/>
  <c r="I114" i="2" s="1" a="1"/>
  <c r="I114" i="2" s="1"/>
  <c r="W114" i="2" s="1"/>
  <c r="AB119" i="1"/>
  <c r="I113" i="2" s="1" a="1"/>
  <c r="I113" i="2" s="1"/>
  <c r="W113" i="2" s="1"/>
  <c r="AB120" i="1"/>
  <c r="I112" i="2" s="1" a="1"/>
  <c r="I112" i="2" s="1"/>
  <c r="W112" i="2" s="1"/>
  <c r="AB118" i="1"/>
  <c r="I111" i="2" s="1" a="1"/>
  <c r="I111" i="2" s="1"/>
  <c r="W111" i="2" s="1"/>
  <c r="AB117" i="1"/>
  <c r="I110" i="2" s="1" a="1"/>
  <c r="I110" i="2" s="1"/>
  <c r="W110" i="2" s="1"/>
  <c r="AB116" i="1"/>
  <c r="I109" i="2" s="1" a="1"/>
  <c r="I109" i="2" s="1"/>
  <c r="W109" i="2" s="1"/>
  <c r="AB115" i="1"/>
  <c r="I108" i="2" s="1" a="1"/>
  <c r="I108" i="2" s="1"/>
  <c r="W108" i="2" s="1"/>
  <c r="AB114" i="1"/>
  <c r="I107" i="2" s="1" a="1"/>
  <c r="I107" i="2" s="1"/>
  <c r="W107" i="2" s="1"/>
  <c r="AB113" i="1"/>
  <c r="I106" i="2" s="1" a="1"/>
  <c r="I106" i="2" s="1"/>
  <c r="W106" i="2" s="1"/>
  <c r="AB112" i="1"/>
  <c r="I105" i="2" s="1" a="1"/>
  <c r="I105" i="2" s="1"/>
  <c r="W105" i="2" s="1"/>
  <c r="AB111" i="1"/>
  <c r="I104" i="2" s="1" a="1"/>
  <c r="I104" i="2" s="1"/>
  <c r="W104" i="2" s="1"/>
  <c r="AB110" i="1"/>
  <c r="I103" i="2" s="1" a="1"/>
  <c r="I103" i="2" s="1"/>
  <c r="W103" i="2" s="1"/>
  <c r="AB109" i="1"/>
  <c r="I102" i="2" s="1" a="1"/>
  <c r="I102" i="2" s="1"/>
  <c r="W102" i="2" s="1"/>
  <c r="AB108" i="1"/>
  <c r="I101" i="2" s="1" a="1"/>
  <c r="I101" i="2" s="1"/>
  <c r="W101" i="2" s="1"/>
  <c r="AB107" i="1"/>
  <c r="I100" i="2" s="1" a="1"/>
  <c r="I100" i="2" s="1"/>
  <c r="W100" i="2" s="1"/>
  <c r="AB105" i="1"/>
  <c r="I99" i="2" s="1" a="1"/>
  <c r="I99" i="2" s="1"/>
  <c r="W99" i="2" s="1"/>
  <c r="AB106" i="1"/>
  <c r="I98" i="2" s="1" a="1"/>
  <c r="I98" i="2" s="1"/>
  <c r="W98" i="2" s="1"/>
  <c r="AB104" i="1"/>
  <c r="I97" i="2" s="1" a="1"/>
  <c r="I97" i="2" s="1"/>
  <c r="W97" i="2" s="1"/>
  <c r="AB103" i="1"/>
  <c r="I96" i="2" s="1" a="1"/>
  <c r="I96" i="2" s="1"/>
  <c r="W96" i="2" s="1"/>
  <c r="AB102" i="1"/>
  <c r="I95" i="2" s="1" a="1"/>
  <c r="I95" i="2" s="1"/>
  <c r="W95" i="2" s="1"/>
  <c r="I94" i="2" a="1"/>
  <c r="I94" i="2" s="1"/>
  <c r="W94" i="2" s="1"/>
  <c r="AB93" i="1"/>
  <c r="I93" i="2" s="1" a="1"/>
  <c r="I93" i="2" s="1"/>
  <c r="W93" i="2" s="1"/>
  <c r="AB92" i="1"/>
  <c r="I92" i="2" s="1" a="1"/>
  <c r="I92" i="2" s="1"/>
  <c r="W92" i="2" s="1"/>
  <c r="AB91" i="1"/>
  <c r="I91" i="2" s="1" a="1"/>
  <c r="I91" i="2" s="1"/>
  <c r="W91" i="2" s="1"/>
  <c r="AB90" i="1"/>
  <c r="I90" i="2" s="1" a="1"/>
  <c r="I90" i="2" s="1"/>
  <c r="W90" i="2" s="1"/>
  <c r="AB89" i="1"/>
  <c r="I89" i="2" s="1" a="1"/>
  <c r="I89" i="2" s="1"/>
  <c r="W89" i="2" s="1"/>
  <c r="AB88" i="1"/>
  <c r="I88" i="2" s="1" a="1"/>
  <c r="I88" i="2" s="1"/>
  <c r="W88" i="2" s="1"/>
  <c r="AB87" i="1"/>
  <c r="I87" i="2" s="1" a="1"/>
  <c r="I87" i="2" s="1"/>
  <c r="W87" i="2" s="1"/>
  <c r="AB86" i="1"/>
  <c r="I86" i="2" s="1" a="1"/>
  <c r="I86" i="2" s="1"/>
  <c r="W86" i="2" s="1"/>
  <c r="AB85" i="1"/>
  <c r="I85" i="2" s="1" a="1"/>
  <c r="I85" i="2" s="1"/>
  <c r="W85" i="2" s="1"/>
  <c r="AB84" i="1"/>
  <c r="I84" i="2" s="1" a="1"/>
  <c r="I84" i="2" s="1"/>
  <c r="W84" i="2" s="1"/>
  <c r="AB83" i="1"/>
  <c r="I83" i="2" s="1" a="1"/>
  <c r="I83" i="2" s="1"/>
  <c r="W83" i="2" s="1"/>
  <c r="AB82" i="1"/>
  <c r="I82" i="2" s="1" a="1"/>
  <c r="I82" i="2" s="1"/>
  <c r="W82" i="2" s="1"/>
  <c r="AB81" i="1"/>
  <c r="I81" i="2" s="1" a="1"/>
  <c r="I81" i="2" s="1"/>
  <c r="W81" i="2" s="1"/>
  <c r="AB80" i="1"/>
  <c r="I80" i="2" s="1" a="1"/>
  <c r="I80" i="2" s="1"/>
  <c r="W80" i="2" s="1"/>
  <c r="AB79" i="1"/>
  <c r="I79" i="2" s="1" a="1"/>
  <c r="I79" i="2" s="1"/>
  <c r="W79" i="2" s="1"/>
  <c r="AB78" i="1"/>
  <c r="I78" i="2" s="1" a="1"/>
  <c r="I78" i="2" s="1"/>
  <c r="W78" i="2" s="1"/>
  <c r="AB77" i="1"/>
  <c r="I77" i="2" s="1" a="1"/>
  <c r="I77" i="2" s="1"/>
  <c r="W77" i="2" s="1"/>
  <c r="AB76" i="1"/>
  <c r="I76" i="2" s="1" a="1"/>
  <c r="I76" i="2" s="1"/>
  <c r="W76" i="2" s="1"/>
  <c r="AB75" i="1"/>
  <c r="I75" i="2" s="1" a="1"/>
  <c r="I75" i="2" s="1"/>
  <c r="W75" i="2" s="1"/>
  <c r="AB74" i="1"/>
  <c r="I74" i="2" s="1" a="1"/>
  <c r="I74" i="2" s="1"/>
  <c r="W74" i="2" s="1"/>
  <c r="AB73" i="1"/>
  <c r="I73" i="2" s="1" a="1"/>
  <c r="I73" i="2" s="1"/>
  <c r="W73" i="2" s="1"/>
  <c r="AB72" i="1"/>
  <c r="I72" i="2" s="1" a="1"/>
  <c r="I72" i="2" s="1"/>
  <c r="W72" i="2" s="1"/>
  <c r="AB71" i="1"/>
  <c r="I71" i="2" s="1" a="1"/>
  <c r="I71" i="2" s="1"/>
  <c r="W71" i="2" s="1"/>
  <c r="AB70" i="1"/>
  <c r="I70" i="2" s="1" a="1"/>
  <c r="I70" i="2" s="1"/>
  <c r="W70" i="2" s="1"/>
  <c r="AB69" i="1"/>
  <c r="I69" i="2" s="1" a="1"/>
  <c r="I69" i="2" s="1"/>
  <c r="W69" i="2" s="1"/>
  <c r="AB68" i="1"/>
  <c r="I68" i="2" s="1" a="1"/>
  <c r="I68" i="2" s="1"/>
  <c r="W68" i="2" s="1"/>
  <c r="AB67" i="1"/>
  <c r="I67" i="2" s="1" a="1"/>
  <c r="I67" i="2" s="1"/>
  <c r="W67" i="2" s="1"/>
  <c r="AB66" i="1"/>
  <c r="I66" i="2" s="1" a="1"/>
  <c r="I66" i="2" s="1"/>
  <c r="W66" i="2" s="1"/>
  <c r="AB65" i="1"/>
  <c r="I65" i="2" s="1" a="1"/>
  <c r="I65" i="2" s="1"/>
  <c r="W65" i="2" s="1"/>
  <c r="AB64" i="1"/>
  <c r="I64" i="2" s="1" a="1"/>
  <c r="I64" i="2" s="1"/>
  <c r="W64" i="2" s="1"/>
  <c r="AB63" i="1"/>
  <c r="I63" i="2" s="1" a="1"/>
  <c r="I63" i="2" s="1"/>
  <c r="W63" i="2" s="1"/>
  <c r="AB62" i="1"/>
  <c r="I62" i="2" s="1" a="1"/>
  <c r="I62" i="2" s="1"/>
  <c r="W62" i="2" s="1"/>
  <c r="AB61" i="1"/>
  <c r="I61" i="2" s="1" a="1"/>
  <c r="I61" i="2" s="1"/>
  <c r="W61" i="2" s="1"/>
  <c r="AB60" i="1"/>
  <c r="I60" i="2" s="1" a="1"/>
  <c r="I60" i="2" s="1"/>
  <c r="W60" i="2" s="1"/>
  <c r="AB59" i="1"/>
  <c r="I59" i="2" s="1" a="1"/>
  <c r="I59" i="2" s="1"/>
  <c r="W59" i="2" s="1"/>
  <c r="AB58" i="1"/>
  <c r="I58" i="2" s="1" a="1"/>
  <c r="I58" i="2" s="1"/>
  <c r="W58" i="2" s="1"/>
  <c r="AB57" i="1"/>
  <c r="I57" i="2" s="1" a="1"/>
  <c r="I57" i="2" s="1"/>
  <c r="W57" i="2" s="1"/>
  <c r="AB56" i="1"/>
  <c r="I56" i="2" s="1" a="1"/>
  <c r="I56" i="2" s="1"/>
  <c r="W56" i="2" s="1"/>
  <c r="AB55" i="1"/>
  <c r="I55" i="2" s="1" a="1"/>
  <c r="I55" i="2" s="1"/>
  <c r="W55" i="2" s="1"/>
  <c r="AB54" i="1"/>
  <c r="I54" i="2" s="1" a="1"/>
  <c r="I54" i="2" s="1"/>
  <c r="W54" i="2" s="1"/>
  <c r="AB53" i="1"/>
  <c r="I53" i="2" s="1" a="1"/>
  <c r="I53" i="2" s="1"/>
  <c r="W53" i="2" s="1"/>
  <c r="AB52" i="1"/>
  <c r="I52" i="2" s="1" a="1"/>
  <c r="I52" i="2" s="1"/>
  <c r="W52" i="2" s="1"/>
  <c r="AB51" i="1"/>
  <c r="I51" i="2" s="1" a="1"/>
  <c r="I51" i="2" s="1"/>
  <c r="W51" i="2" s="1"/>
  <c r="AB50" i="1"/>
  <c r="I50" i="2" s="1" a="1"/>
  <c r="I50" i="2" s="1"/>
  <c r="W50" i="2" s="1"/>
  <c r="AB49" i="1"/>
  <c r="I49" i="2" s="1" a="1"/>
  <c r="I49" i="2" s="1"/>
  <c r="W49" i="2" s="1"/>
  <c r="AB48" i="1"/>
  <c r="I48" i="2" s="1" a="1"/>
  <c r="I48" i="2" s="1"/>
  <c r="W48" i="2" s="1"/>
  <c r="AB47" i="1"/>
  <c r="I47" i="2" s="1" a="1"/>
  <c r="I47" i="2" s="1"/>
  <c r="W47" i="2" s="1"/>
  <c r="AB46" i="1"/>
  <c r="I46" i="2" s="1" a="1"/>
  <c r="I46" i="2" s="1"/>
  <c r="W46" i="2" s="1"/>
  <c r="AB45" i="1"/>
  <c r="I45" i="2" s="1" a="1"/>
  <c r="I45" i="2" s="1"/>
  <c r="W45" i="2" s="1"/>
  <c r="AB44" i="1"/>
  <c r="I44" i="2" s="1" a="1"/>
  <c r="I44" i="2" s="1"/>
  <c r="W44" i="2" s="1"/>
  <c r="AB43" i="1"/>
  <c r="I43" i="2" s="1" a="1"/>
  <c r="I43" i="2" s="1"/>
  <c r="W43" i="2" s="1"/>
  <c r="AB42" i="1"/>
  <c r="I42" i="2" s="1" a="1"/>
  <c r="I42" i="2" s="1"/>
  <c r="W42" i="2" s="1"/>
  <c r="AB41" i="1"/>
  <c r="I41" i="2" s="1" a="1"/>
  <c r="I41" i="2" s="1"/>
  <c r="W41" i="2" s="1"/>
  <c r="AB40" i="1"/>
  <c r="I40" i="2" s="1" a="1"/>
  <c r="I40" i="2" s="1"/>
  <c r="W40" i="2" s="1"/>
  <c r="AB39" i="1"/>
  <c r="I39" i="2" s="1" a="1"/>
  <c r="I39" i="2" s="1"/>
  <c r="W39" i="2" s="1"/>
  <c r="AB38" i="1"/>
  <c r="I38" i="2" s="1" a="1"/>
  <c r="I38" i="2" s="1"/>
  <c r="W38" i="2" s="1"/>
  <c r="AB37" i="1"/>
  <c r="I37" i="2" s="1" a="1"/>
  <c r="I37" i="2" s="1"/>
  <c r="W37" i="2" s="1"/>
  <c r="AB36" i="1"/>
  <c r="I36" i="2" s="1" a="1"/>
  <c r="I36" i="2" s="1"/>
  <c r="W36" i="2" s="1"/>
  <c r="AB35" i="1"/>
  <c r="I35" i="2" s="1" a="1"/>
  <c r="I35" i="2" s="1"/>
  <c r="W35" i="2" s="1"/>
  <c r="AB34" i="1"/>
  <c r="I34" i="2" s="1" a="1"/>
  <c r="I34" i="2" s="1"/>
  <c r="W34" i="2" s="1"/>
  <c r="AB33" i="1"/>
  <c r="I33" i="2" s="1" a="1"/>
  <c r="I33" i="2" s="1"/>
  <c r="W33" i="2" s="1"/>
  <c r="AB32" i="1"/>
  <c r="I32" i="2" s="1" a="1"/>
  <c r="I32" i="2" s="1"/>
  <c r="W32" i="2" s="1"/>
  <c r="AB31" i="1"/>
  <c r="I31" i="2" s="1" a="1"/>
  <c r="I31" i="2" s="1"/>
  <c r="W31" i="2" s="1"/>
  <c r="AB30" i="1"/>
  <c r="I30" i="2" s="1" a="1"/>
  <c r="I30" i="2" s="1"/>
  <c r="W30" i="2" s="1"/>
  <c r="AB29" i="1"/>
  <c r="I29" i="2" s="1" a="1"/>
  <c r="I29" i="2" s="1"/>
  <c r="W29" i="2" s="1"/>
  <c r="AB28" i="1"/>
  <c r="I28" i="2" s="1" a="1"/>
  <c r="I28" i="2" s="1"/>
  <c r="W28" i="2" s="1"/>
  <c r="AB27" i="1"/>
  <c r="I27" i="2" s="1" a="1"/>
  <c r="I27" i="2" s="1"/>
  <c r="W27" i="2" s="1"/>
  <c r="AB26" i="1"/>
  <c r="I26" i="2" s="1" a="1"/>
  <c r="I26" i="2" s="1"/>
  <c r="W26" i="2" s="1"/>
  <c r="AB25" i="1"/>
  <c r="I25" i="2" s="1" a="1"/>
  <c r="I25" i="2" s="1"/>
  <c r="W25" i="2" s="1"/>
  <c r="AB24" i="1"/>
  <c r="I24" i="2" s="1" a="1"/>
  <c r="I24" i="2" s="1"/>
  <c r="W24" i="2" s="1"/>
  <c r="AB23" i="1"/>
  <c r="I23" i="2" s="1" a="1"/>
  <c r="I23" i="2" s="1"/>
  <c r="W23" i="2" s="1"/>
  <c r="AB21" i="1"/>
  <c r="I22" i="2" s="1" a="1"/>
  <c r="I22" i="2" s="1"/>
  <c r="W22" i="2" s="1"/>
  <c r="AB20" i="1"/>
  <c r="I21" i="2" s="1" a="1"/>
  <c r="I21" i="2" s="1"/>
  <c r="W21" i="2" s="1"/>
  <c r="AB19" i="1"/>
  <c r="I20" i="2" s="1" a="1"/>
  <c r="I20" i="2" s="1"/>
  <c r="W20" i="2" s="1"/>
  <c r="AB22" i="1"/>
  <c r="I19" i="2" s="1" a="1"/>
  <c r="I19" i="2" s="1"/>
  <c r="W19" i="2" s="1"/>
  <c r="AB18" i="1"/>
  <c r="I18" i="2" s="1" a="1"/>
  <c r="I18" i="2" s="1"/>
  <c r="W18" i="2" s="1"/>
  <c r="AB17" i="1"/>
  <c r="I17" i="2" s="1" a="1"/>
  <c r="I17" i="2" s="1"/>
  <c r="W17" i="2" s="1"/>
  <c r="AB16" i="1"/>
  <c r="I16" i="2" s="1" a="1"/>
  <c r="I16" i="2" s="1"/>
  <c r="W16" i="2" s="1"/>
  <c r="AB14" i="1"/>
  <c r="I15" i="2" s="1" a="1"/>
  <c r="I15" i="2" s="1"/>
  <c r="W15" i="2" s="1"/>
  <c r="AB15" i="1"/>
  <c r="I14" i="2" s="1" a="1"/>
  <c r="I14" i="2" s="1"/>
  <c r="W14" i="2" s="1"/>
  <c r="AB13" i="1"/>
  <c r="I13" i="2" s="1" a="1"/>
  <c r="I13" i="2" s="1"/>
  <c r="W13" i="2" s="1"/>
  <c r="AB12" i="1"/>
  <c r="I12" i="2" s="1" a="1"/>
  <c r="I12" i="2" s="1"/>
  <c r="W12" i="2" s="1"/>
  <c r="AB11" i="1"/>
  <c r="I11" i="2" s="1" a="1"/>
  <c r="I11" i="2" s="1"/>
  <c r="W11" i="2" s="1"/>
  <c r="AB10" i="1"/>
  <c r="I10" i="2" s="1" a="1"/>
  <c r="I10" i="2" s="1"/>
  <c r="W10" i="2" s="1"/>
  <c r="AB9" i="1"/>
  <c r="I9" i="2" s="1" a="1"/>
  <c r="I9" i="2" s="1"/>
  <c r="W9" i="2" s="1"/>
  <c r="AB8" i="1"/>
  <c r="I8" i="2" s="1" a="1"/>
  <c r="I8" i="2" s="1"/>
  <c r="W8" i="2" s="1"/>
  <c r="AB7" i="1"/>
  <c r="I7" i="2" s="1" a="1"/>
  <c r="I7" i="2" s="1"/>
  <c r="W7" i="2" s="1"/>
  <c r="AB6" i="1"/>
  <c r="I6" i="2" s="1" a="1"/>
  <c r="I6" i="2" s="1"/>
  <c r="W6" i="2" s="1"/>
  <c r="AB5" i="1"/>
  <c r="I5" i="2" s="1" a="1"/>
  <c r="I5" i="2" s="1"/>
  <c r="W5" i="2" s="1"/>
  <c r="AB4" i="1"/>
  <c r="I4" i="2" s="1" a="1"/>
  <c r="I4" i="2" s="1"/>
  <c r="W4" i="2" s="1"/>
  <c r="AB3" i="1"/>
  <c r="I3" i="2" s="1" a="1"/>
  <c r="I3" i="2" s="1"/>
  <c r="W3" i="2" s="1"/>
  <c r="AB2" i="1"/>
  <c r="I2" i="2" s="1" a="1"/>
  <c r="I2" i="2" s="1"/>
  <c r="W2" i="2" s="1"/>
  <c r="X135" i="1"/>
  <c r="H128" i="2" s="1" a="1"/>
  <c r="H128" i="2" s="1"/>
  <c r="V128" i="2" s="1"/>
  <c r="X134" i="1"/>
  <c r="H127" i="2" s="1" a="1"/>
  <c r="H127" i="2" s="1"/>
  <c r="V127" i="2" s="1"/>
  <c r="X133" i="1"/>
  <c r="H126" i="2" s="1" a="1"/>
  <c r="H126" i="2" s="1"/>
  <c r="V126" i="2" s="1"/>
  <c r="X132" i="1"/>
  <c r="H125" i="2" s="1" a="1"/>
  <c r="H125" i="2" s="1"/>
  <c r="V125" i="2" s="1"/>
  <c r="X131" i="1"/>
  <c r="H124" i="2" s="1" a="1"/>
  <c r="H124" i="2" s="1"/>
  <c r="V124" i="2" s="1"/>
  <c r="X130" i="1"/>
  <c r="H123" i="2" s="1" a="1"/>
  <c r="H123" i="2" s="1"/>
  <c r="V123" i="2" s="1"/>
  <c r="X129" i="1"/>
  <c r="H122" i="2" s="1" a="1"/>
  <c r="H122" i="2" s="1"/>
  <c r="V122" i="2" s="1"/>
  <c r="X128" i="1"/>
  <c r="H121" i="2" s="1" a="1"/>
  <c r="H121" i="2" s="1"/>
  <c r="V121" i="2" s="1"/>
  <c r="X127" i="1"/>
  <c r="H120" i="2" s="1" a="1"/>
  <c r="H120" i="2" s="1"/>
  <c r="V120" i="2" s="1"/>
  <c r="X126" i="1"/>
  <c r="H119" i="2" s="1" a="1"/>
  <c r="H119" i="2" s="1"/>
  <c r="V119" i="2" s="1"/>
  <c r="X125" i="1"/>
  <c r="H118" i="2" s="1" a="1"/>
  <c r="H118" i="2" s="1"/>
  <c r="V118" i="2" s="1"/>
  <c r="X124" i="1"/>
  <c r="H117" i="2" s="1" a="1"/>
  <c r="H117" i="2" s="1"/>
  <c r="V117" i="2" s="1"/>
  <c r="X123" i="1"/>
  <c r="H116" i="2" s="1" a="1"/>
  <c r="H116" i="2" s="1"/>
  <c r="V116" i="2" s="1"/>
  <c r="X122" i="1"/>
  <c r="H115" i="2" s="1" a="1"/>
  <c r="H115" i="2" s="1"/>
  <c r="V115" i="2" s="1"/>
  <c r="X121" i="1"/>
  <c r="H114" i="2" s="1" a="1"/>
  <c r="H114" i="2" s="1"/>
  <c r="V114" i="2" s="1"/>
  <c r="X119" i="1"/>
  <c r="H113" i="2" s="1" a="1"/>
  <c r="H113" i="2" s="1"/>
  <c r="V113" i="2" s="1"/>
  <c r="X120" i="1"/>
  <c r="H112" i="2" s="1" a="1"/>
  <c r="H112" i="2" s="1"/>
  <c r="V112" i="2" s="1"/>
  <c r="X118" i="1"/>
  <c r="H111" i="2" s="1" a="1"/>
  <c r="H111" i="2" s="1"/>
  <c r="V111" i="2" s="1"/>
  <c r="X117" i="1"/>
  <c r="H110" i="2" s="1" a="1"/>
  <c r="H110" i="2" s="1"/>
  <c r="V110" i="2" s="1"/>
  <c r="X116" i="1"/>
  <c r="H109" i="2" s="1" a="1"/>
  <c r="H109" i="2" s="1"/>
  <c r="V109" i="2" s="1"/>
  <c r="X115" i="1"/>
  <c r="H108" i="2" s="1" a="1"/>
  <c r="H108" i="2" s="1"/>
  <c r="V108" i="2" s="1"/>
  <c r="X114" i="1"/>
  <c r="H107" i="2" s="1" a="1"/>
  <c r="H107" i="2" s="1"/>
  <c r="V107" i="2" s="1"/>
  <c r="X113" i="1"/>
  <c r="H106" i="2" s="1" a="1"/>
  <c r="H106" i="2" s="1"/>
  <c r="V106" i="2" s="1"/>
  <c r="X112" i="1"/>
  <c r="H105" i="2" s="1" a="1"/>
  <c r="H105" i="2" s="1"/>
  <c r="V105" i="2" s="1"/>
  <c r="X111" i="1"/>
  <c r="H104" i="2" s="1" a="1"/>
  <c r="H104" i="2" s="1"/>
  <c r="V104" i="2" s="1"/>
  <c r="X110" i="1"/>
  <c r="H103" i="2" s="1" a="1"/>
  <c r="H103" i="2" s="1"/>
  <c r="V103" i="2" s="1"/>
  <c r="X109" i="1"/>
  <c r="H102" i="2" s="1" a="1"/>
  <c r="H102" i="2" s="1"/>
  <c r="V102" i="2" s="1"/>
  <c r="X108" i="1"/>
  <c r="H101" i="2" s="1" a="1"/>
  <c r="H101" i="2" s="1"/>
  <c r="V101" i="2" s="1"/>
  <c r="X107" i="1"/>
  <c r="H100" i="2" s="1" a="1"/>
  <c r="H100" i="2" s="1"/>
  <c r="V100" i="2" s="1"/>
  <c r="X105" i="1"/>
  <c r="H99" i="2" s="1" a="1"/>
  <c r="H99" i="2" s="1"/>
  <c r="V99" i="2" s="1"/>
  <c r="X106" i="1"/>
  <c r="H98" i="2" s="1" a="1"/>
  <c r="H98" i="2" s="1"/>
  <c r="V98" i="2" s="1"/>
  <c r="X104" i="1"/>
  <c r="H97" i="2" s="1" a="1"/>
  <c r="H97" i="2" s="1"/>
  <c r="V97" i="2" s="1"/>
  <c r="X103" i="1"/>
  <c r="H96" i="2" s="1" a="1"/>
  <c r="H96" i="2" s="1"/>
  <c r="V96" i="2" s="1"/>
  <c r="X102" i="1"/>
  <c r="H95" i="2" s="1" a="1"/>
  <c r="H95" i="2" s="1"/>
  <c r="V95" i="2" s="1"/>
  <c r="H94" i="2" a="1"/>
  <c r="H94" i="2" s="1"/>
  <c r="V94" i="2" s="1"/>
  <c r="X93" i="1"/>
  <c r="H93" i="2" s="1" a="1"/>
  <c r="H93" i="2" s="1"/>
  <c r="V93" i="2" s="1"/>
  <c r="X92" i="1"/>
  <c r="H92" i="2" s="1" a="1"/>
  <c r="H92" i="2" s="1"/>
  <c r="V92" i="2" s="1"/>
  <c r="X91" i="1"/>
  <c r="H91" i="2" s="1" a="1"/>
  <c r="H91" i="2" s="1"/>
  <c r="V91" i="2" s="1"/>
  <c r="X90" i="1"/>
  <c r="H90" i="2" s="1" a="1"/>
  <c r="H90" i="2" s="1"/>
  <c r="V90" i="2" s="1"/>
  <c r="X89" i="1"/>
  <c r="H89" i="2" s="1" a="1"/>
  <c r="H89" i="2" s="1"/>
  <c r="V89" i="2" s="1"/>
  <c r="X88" i="1"/>
  <c r="H88" i="2" s="1" a="1"/>
  <c r="H88" i="2" s="1"/>
  <c r="V88" i="2" s="1"/>
  <c r="X87" i="1"/>
  <c r="H87" i="2" s="1" a="1"/>
  <c r="H87" i="2" s="1"/>
  <c r="V87" i="2" s="1"/>
  <c r="X86" i="1"/>
  <c r="H86" i="2" s="1" a="1"/>
  <c r="H86" i="2" s="1"/>
  <c r="V86" i="2" s="1"/>
  <c r="X85" i="1"/>
  <c r="H85" i="2" s="1" a="1"/>
  <c r="H85" i="2" s="1"/>
  <c r="V85" i="2" s="1"/>
  <c r="X84" i="1"/>
  <c r="H84" i="2" s="1" a="1"/>
  <c r="H84" i="2" s="1"/>
  <c r="V84" i="2" s="1"/>
  <c r="X83" i="1"/>
  <c r="H83" i="2" s="1" a="1"/>
  <c r="H83" i="2" s="1"/>
  <c r="V83" i="2" s="1"/>
  <c r="X82" i="1"/>
  <c r="H82" i="2" s="1" a="1"/>
  <c r="H82" i="2" s="1"/>
  <c r="V82" i="2" s="1"/>
  <c r="X81" i="1"/>
  <c r="H81" i="2" s="1" a="1"/>
  <c r="H81" i="2" s="1"/>
  <c r="V81" i="2" s="1"/>
  <c r="X80" i="1"/>
  <c r="H80" i="2" s="1" a="1"/>
  <c r="H80" i="2" s="1"/>
  <c r="V80" i="2" s="1"/>
  <c r="X79" i="1"/>
  <c r="H79" i="2" s="1" a="1"/>
  <c r="H79" i="2" s="1"/>
  <c r="V79" i="2" s="1"/>
  <c r="X78" i="1"/>
  <c r="H78" i="2" s="1" a="1"/>
  <c r="H78" i="2" s="1"/>
  <c r="V78" i="2" s="1"/>
  <c r="X77" i="1"/>
  <c r="H77" i="2" s="1" a="1"/>
  <c r="H77" i="2" s="1"/>
  <c r="V77" i="2" s="1"/>
  <c r="X76" i="1"/>
  <c r="H76" i="2" s="1" a="1"/>
  <c r="H76" i="2" s="1"/>
  <c r="V76" i="2" s="1"/>
  <c r="X75" i="1"/>
  <c r="H75" i="2" s="1" a="1"/>
  <c r="H75" i="2" s="1"/>
  <c r="V75" i="2" s="1"/>
  <c r="X74" i="1"/>
  <c r="H74" i="2" s="1" a="1"/>
  <c r="H74" i="2" s="1"/>
  <c r="V74" i="2" s="1"/>
  <c r="X73" i="1"/>
  <c r="H73" i="2" s="1" a="1"/>
  <c r="H73" i="2" s="1"/>
  <c r="V73" i="2" s="1"/>
  <c r="X72" i="1"/>
  <c r="H72" i="2" s="1" a="1"/>
  <c r="H72" i="2" s="1"/>
  <c r="V72" i="2" s="1"/>
  <c r="X71" i="1"/>
  <c r="H71" i="2" s="1" a="1"/>
  <c r="H71" i="2" s="1"/>
  <c r="V71" i="2" s="1"/>
  <c r="X70" i="1"/>
  <c r="H70" i="2" s="1" a="1"/>
  <c r="H70" i="2" s="1"/>
  <c r="V70" i="2" s="1"/>
  <c r="X69" i="1"/>
  <c r="H69" i="2" s="1" a="1"/>
  <c r="H69" i="2" s="1"/>
  <c r="V69" i="2" s="1"/>
  <c r="X68" i="1"/>
  <c r="H68" i="2" s="1" a="1"/>
  <c r="H68" i="2" s="1"/>
  <c r="V68" i="2" s="1"/>
  <c r="X67" i="1"/>
  <c r="H67" i="2" s="1" a="1"/>
  <c r="H67" i="2" s="1"/>
  <c r="V67" i="2" s="1"/>
  <c r="X66" i="1"/>
  <c r="H66" i="2" s="1" a="1"/>
  <c r="H66" i="2" s="1"/>
  <c r="V66" i="2" s="1"/>
  <c r="X65" i="1"/>
  <c r="H65" i="2" s="1" a="1"/>
  <c r="H65" i="2" s="1"/>
  <c r="V65" i="2" s="1"/>
  <c r="X64" i="1"/>
  <c r="H64" i="2" s="1" a="1"/>
  <c r="H64" i="2" s="1"/>
  <c r="V64" i="2" s="1"/>
  <c r="X63" i="1"/>
  <c r="H63" i="2" s="1" a="1"/>
  <c r="H63" i="2" s="1"/>
  <c r="V63" i="2" s="1"/>
  <c r="X62" i="1"/>
  <c r="H62" i="2" s="1" a="1"/>
  <c r="H62" i="2" s="1"/>
  <c r="V62" i="2" s="1"/>
  <c r="X61" i="1"/>
  <c r="H61" i="2" s="1" a="1"/>
  <c r="H61" i="2" s="1"/>
  <c r="V61" i="2" s="1"/>
  <c r="X60" i="1"/>
  <c r="H60" i="2" s="1" a="1"/>
  <c r="H60" i="2" s="1"/>
  <c r="V60" i="2" s="1"/>
  <c r="X59" i="1"/>
  <c r="H59" i="2" s="1" a="1"/>
  <c r="H59" i="2" s="1"/>
  <c r="V59" i="2" s="1"/>
  <c r="X58" i="1"/>
  <c r="H58" i="2" s="1" a="1"/>
  <c r="H58" i="2" s="1"/>
  <c r="V58" i="2" s="1"/>
  <c r="X57" i="1"/>
  <c r="H57" i="2" s="1" a="1"/>
  <c r="H57" i="2" s="1"/>
  <c r="V57" i="2" s="1"/>
  <c r="X56" i="1"/>
  <c r="H56" i="2" s="1" a="1"/>
  <c r="H56" i="2" s="1"/>
  <c r="V56" i="2" s="1"/>
  <c r="X55" i="1"/>
  <c r="H55" i="2" s="1" a="1"/>
  <c r="H55" i="2" s="1"/>
  <c r="V55" i="2" s="1"/>
  <c r="X54" i="1"/>
  <c r="H54" i="2" s="1" a="1"/>
  <c r="H54" i="2" s="1"/>
  <c r="V54" i="2" s="1"/>
  <c r="X53" i="1"/>
  <c r="H53" i="2" s="1" a="1"/>
  <c r="H53" i="2" s="1"/>
  <c r="V53" i="2" s="1"/>
  <c r="X52" i="1"/>
  <c r="H52" i="2" s="1" a="1"/>
  <c r="H52" i="2" s="1"/>
  <c r="V52" i="2" s="1"/>
  <c r="X51" i="1"/>
  <c r="H51" i="2" s="1" a="1"/>
  <c r="H51" i="2" s="1"/>
  <c r="V51" i="2" s="1"/>
  <c r="X50" i="1"/>
  <c r="H50" i="2" s="1" a="1"/>
  <c r="H50" i="2" s="1"/>
  <c r="V50" i="2" s="1"/>
  <c r="X49" i="1"/>
  <c r="H49" i="2" s="1" a="1"/>
  <c r="H49" i="2" s="1"/>
  <c r="V49" i="2" s="1"/>
  <c r="X48" i="1"/>
  <c r="H48" i="2" s="1" a="1"/>
  <c r="H48" i="2" s="1"/>
  <c r="V48" i="2" s="1"/>
  <c r="X47" i="1"/>
  <c r="H47" i="2" s="1" a="1"/>
  <c r="H47" i="2" s="1"/>
  <c r="V47" i="2" s="1"/>
  <c r="X46" i="1"/>
  <c r="H46" i="2" s="1" a="1"/>
  <c r="H46" i="2" s="1"/>
  <c r="V46" i="2" s="1"/>
  <c r="X45" i="1"/>
  <c r="H45" i="2" s="1" a="1"/>
  <c r="H45" i="2" s="1"/>
  <c r="V45" i="2" s="1"/>
  <c r="X44" i="1"/>
  <c r="H44" i="2" s="1" a="1"/>
  <c r="H44" i="2" s="1"/>
  <c r="V44" i="2" s="1"/>
  <c r="X43" i="1"/>
  <c r="H43" i="2" s="1" a="1"/>
  <c r="H43" i="2" s="1"/>
  <c r="V43" i="2" s="1"/>
  <c r="X42" i="1"/>
  <c r="H42" i="2" s="1" a="1"/>
  <c r="H42" i="2" s="1"/>
  <c r="V42" i="2" s="1"/>
  <c r="X41" i="1"/>
  <c r="H41" i="2" s="1" a="1"/>
  <c r="H41" i="2" s="1"/>
  <c r="V41" i="2" s="1"/>
  <c r="X40" i="1"/>
  <c r="H40" i="2" s="1" a="1"/>
  <c r="H40" i="2" s="1"/>
  <c r="V40" i="2" s="1"/>
  <c r="X39" i="1"/>
  <c r="H39" i="2" s="1" a="1"/>
  <c r="H39" i="2" s="1"/>
  <c r="V39" i="2" s="1"/>
  <c r="X38" i="1"/>
  <c r="H38" i="2" s="1" a="1"/>
  <c r="H38" i="2" s="1"/>
  <c r="V38" i="2" s="1"/>
  <c r="X37" i="1"/>
  <c r="H37" i="2" s="1" a="1"/>
  <c r="H37" i="2" s="1"/>
  <c r="V37" i="2" s="1"/>
  <c r="X36" i="1"/>
  <c r="H36" i="2" s="1" a="1"/>
  <c r="H36" i="2" s="1"/>
  <c r="V36" i="2" s="1"/>
  <c r="X35" i="1"/>
  <c r="H35" i="2" s="1" a="1"/>
  <c r="H35" i="2" s="1"/>
  <c r="V35" i="2" s="1"/>
  <c r="X34" i="1"/>
  <c r="H34" i="2" s="1" a="1"/>
  <c r="H34" i="2" s="1"/>
  <c r="V34" i="2" s="1"/>
  <c r="X33" i="1"/>
  <c r="H33" i="2" s="1" a="1"/>
  <c r="H33" i="2" s="1"/>
  <c r="V33" i="2" s="1"/>
  <c r="X32" i="1"/>
  <c r="H32" i="2" s="1" a="1"/>
  <c r="H32" i="2" s="1"/>
  <c r="V32" i="2" s="1"/>
  <c r="X31" i="1"/>
  <c r="H31" i="2" s="1" a="1"/>
  <c r="H31" i="2" s="1"/>
  <c r="V31" i="2" s="1"/>
  <c r="X30" i="1"/>
  <c r="H30" i="2" s="1" a="1"/>
  <c r="H30" i="2" s="1"/>
  <c r="V30" i="2" s="1"/>
  <c r="X29" i="1"/>
  <c r="H29" i="2" s="1" a="1"/>
  <c r="H29" i="2" s="1"/>
  <c r="V29" i="2" s="1"/>
  <c r="X28" i="1"/>
  <c r="H28" i="2" s="1" a="1"/>
  <c r="H28" i="2" s="1"/>
  <c r="V28" i="2" s="1"/>
  <c r="X27" i="1"/>
  <c r="H27" i="2" s="1" a="1"/>
  <c r="H27" i="2" s="1"/>
  <c r="V27" i="2" s="1"/>
  <c r="X26" i="1"/>
  <c r="H26" i="2" s="1" a="1"/>
  <c r="H26" i="2" s="1"/>
  <c r="V26" i="2" s="1"/>
  <c r="X25" i="1"/>
  <c r="H25" i="2" s="1" a="1"/>
  <c r="H25" i="2" s="1"/>
  <c r="V25" i="2" s="1"/>
  <c r="X24" i="1"/>
  <c r="H24" i="2" s="1" a="1"/>
  <c r="H24" i="2" s="1"/>
  <c r="V24" i="2" s="1"/>
  <c r="X23" i="1"/>
  <c r="H23" i="2" s="1" a="1"/>
  <c r="H23" i="2" s="1"/>
  <c r="V23" i="2" s="1"/>
  <c r="X21" i="1"/>
  <c r="H22" i="2" s="1" a="1"/>
  <c r="H22" i="2" s="1"/>
  <c r="V22" i="2" s="1"/>
  <c r="X20" i="1"/>
  <c r="H21" i="2" s="1" a="1"/>
  <c r="H21" i="2" s="1"/>
  <c r="V21" i="2" s="1"/>
  <c r="X19" i="1"/>
  <c r="H20" i="2" s="1" a="1"/>
  <c r="H20" i="2" s="1"/>
  <c r="V20" i="2" s="1"/>
  <c r="X22" i="1"/>
  <c r="H19" i="2" s="1" a="1"/>
  <c r="H19" i="2" s="1"/>
  <c r="V19" i="2" s="1"/>
  <c r="X18" i="1"/>
  <c r="H18" i="2" s="1" a="1"/>
  <c r="H18" i="2" s="1"/>
  <c r="V18" i="2" s="1"/>
  <c r="X17" i="1"/>
  <c r="H17" i="2" s="1" a="1"/>
  <c r="H17" i="2" s="1"/>
  <c r="V17" i="2" s="1"/>
  <c r="X16" i="1"/>
  <c r="H16" i="2" s="1" a="1"/>
  <c r="H16" i="2" s="1"/>
  <c r="V16" i="2" s="1"/>
  <c r="X14" i="1"/>
  <c r="H15" i="2" s="1" a="1"/>
  <c r="H15" i="2" s="1"/>
  <c r="V15" i="2" s="1"/>
  <c r="X15" i="1"/>
  <c r="H14" i="2" s="1" a="1"/>
  <c r="H14" i="2" s="1"/>
  <c r="V14" i="2" s="1"/>
  <c r="X13" i="1"/>
  <c r="H13" i="2" s="1" a="1"/>
  <c r="H13" i="2" s="1"/>
  <c r="V13" i="2" s="1"/>
  <c r="X12" i="1"/>
  <c r="H12" i="2" s="1" a="1"/>
  <c r="H12" i="2" s="1"/>
  <c r="V12" i="2" s="1"/>
  <c r="X11" i="1"/>
  <c r="H11" i="2" s="1" a="1"/>
  <c r="H11" i="2" s="1"/>
  <c r="V11" i="2" s="1"/>
  <c r="X10" i="1"/>
  <c r="H10" i="2" s="1" a="1"/>
  <c r="H10" i="2" s="1"/>
  <c r="V10" i="2" s="1"/>
  <c r="X9" i="1"/>
  <c r="H9" i="2" s="1" a="1"/>
  <c r="H9" i="2" s="1"/>
  <c r="V9" i="2" s="1"/>
  <c r="X8" i="1"/>
  <c r="H8" i="2" s="1" a="1"/>
  <c r="H8" i="2" s="1"/>
  <c r="V8" i="2" s="1"/>
  <c r="X7" i="1"/>
  <c r="H7" i="2" s="1" a="1"/>
  <c r="H7" i="2" s="1"/>
  <c r="V7" i="2" s="1"/>
  <c r="X6" i="1"/>
  <c r="H6" i="2" s="1" a="1"/>
  <c r="H6" i="2" s="1"/>
  <c r="V6" i="2" s="1"/>
  <c r="X5" i="1"/>
  <c r="H5" i="2" s="1" a="1"/>
  <c r="H5" i="2" s="1"/>
  <c r="V5" i="2" s="1"/>
  <c r="X4" i="1"/>
  <c r="H4" i="2" s="1" a="1"/>
  <c r="H4" i="2" s="1"/>
  <c r="V4" i="2" s="1"/>
  <c r="X3" i="1"/>
  <c r="H3" i="2" s="1" a="1"/>
  <c r="H3" i="2" s="1"/>
  <c r="V3" i="2" s="1"/>
  <c r="X2" i="1"/>
  <c r="H2" i="2" s="1" a="1"/>
  <c r="H2" i="2" s="1"/>
  <c r="V2" i="2" s="1"/>
  <c r="T135" i="1"/>
  <c r="G128" i="2" s="1" a="1"/>
  <c r="G128" i="2" s="1"/>
  <c r="U128" i="2" s="1"/>
  <c r="T134" i="1"/>
  <c r="G127" i="2" s="1" a="1"/>
  <c r="G127" i="2" s="1"/>
  <c r="U127" i="2" s="1"/>
  <c r="T133" i="1"/>
  <c r="G126" i="2" s="1" a="1"/>
  <c r="G126" i="2" s="1"/>
  <c r="U126" i="2" s="1"/>
  <c r="T132" i="1"/>
  <c r="G125" i="2" s="1" a="1"/>
  <c r="G125" i="2" s="1"/>
  <c r="U125" i="2" s="1"/>
  <c r="T131" i="1"/>
  <c r="G124" i="2" s="1" a="1"/>
  <c r="G124" i="2" s="1"/>
  <c r="U124" i="2" s="1"/>
  <c r="T130" i="1"/>
  <c r="G123" i="2" s="1" a="1"/>
  <c r="G123" i="2" s="1"/>
  <c r="U123" i="2" s="1"/>
  <c r="T129" i="1"/>
  <c r="G122" i="2" s="1" a="1"/>
  <c r="G122" i="2" s="1"/>
  <c r="U122" i="2" s="1"/>
  <c r="T128" i="1"/>
  <c r="G121" i="2" s="1" a="1"/>
  <c r="G121" i="2" s="1"/>
  <c r="U121" i="2" s="1"/>
  <c r="T127" i="1"/>
  <c r="G120" i="2" s="1" a="1"/>
  <c r="G120" i="2" s="1"/>
  <c r="U120" i="2" s="1"/>
  <c r="T126" i="1"/>
  <c r="G119" i="2" s="1" a="1"/>
  <c r="G119" i="2" s="1"/>
  <c r="U119" i="2" s="1"/>
  <c r="T125" i="1"/>
  <c r="G118" i="2" s="1" a="1"/>
  <c r="G118" i="2" s="1"/>
  <c r="U118" i="2" s="1"/>
  <c r="T124" i="1"/>
  <c r="G117" i="2" s="1" a="1"/>
  <c r="G117" i="2" s="1"/>
  <c r="U117" i="2" s="1"/>
  <c r="T123" i="1"/>
  <c r="G116" i="2" s="1" a="1"/>
  <c r="G116" i="2" s="1"/>
  <c r="U116" i="2" s="1"/>
  <c r="T122" i="1"/>
  <c r="G115" i="2" s="1" a="1"/>
  <c r="G115" i="2" s="1"/>
  <c r="U115" i="2" s="1"/>
  <c r="T121" i="1"/>
  <c r="G114" i="2" s="1" a="1"/>
  <c r="G114" i="2" s="1"/>
  <c r="U114" i="2" s="1"/>
  <c r="T119" i="1"/>
  <c r="G113" i="2" s="1" a="1"/>
  <c r="G113" i="2" s="1"/>
  <c r="U113" i="2" s="1"/>
  <c r="T120" i="1"/>
  <c r="G112" i="2" s="1" a="1"/>
  <c r="G112" i="2" s="1"/>
  <c r="U112" i="2" s="1"/>
  <c r="T118" i="1"/>
  <c r="G111" i="2" s="1" a="1"/>
  <c r="G111" i="2" s="1"/>
  <c r="U111" i="2" s="1"/>
  <c r="T117" i="1"/>
  <c r="G110" i="2" s="1" a="1"/>
  <c r="G110" i="2" s="1"/>
  <c r="U110" i="2" s="1"/>
  <c r="T116" i="1"/>
  <c r="G109" i="2" s="1" a="1"/>
  <c r="G109" i="2" s="1"/>
  <c r="U109" i="2" s="1"/>
  <c r="T115" i="1"/>
  <c r="G108" i="2" s="1" a="1"/>
  <c r="G108" i="2" s="1"/>
  <c r="U108" i="2" s="1"/>
  <c r="T114" i="1"/>
  <c r="G107" i="2" s="1" a="1"/>
  <c r="G107" i="2" s="1"/>
  <c r="U107" i="2" s="1"/>
  <c r="T113" i="1"/>
  <c r="G106" i="2" s="1" a="1"/>
  <c r="G106" i="2" s="1"/>
  <c r="U106" i="2" s="1"/>
  <c r="T112" i="1"/>
  <c r="G105" i="2" s="1" a="1"/>
  <c r="G105" i="2" s="1"/>
  <c r="U105" i="2" s="1"/>
  <c r="T111" i="1"/>
  <c r="G104" i="2" s="1" a="1"/>
  <c r="G104" i="2" s="1"/>
  <c r="U104" i="2" s="1"/>
  <c r="T110" i="1"/>
  <c r="G103" i="2" s="1" a="1"/>
  <c r="G103" i="2" s="1"/>
  <c r="U103" i="2" s="1"/>
  <c r="T109" i="1"/>
  <c r="G102" i="2" s="1" a="1"/>
  <c r="G102" i="2" s="1"/>
  <c r="U102" i="2" s="1"/>
  <c r="T108" i="1"/>
  <c r="G101" i="2" s="1" a="1"/>
  <c r="G101" i="2" s="1"/>
  <c r="U101" i="2" s="1"/>
  <c r="T107" i="1"/>
  <c r="G100" i="2" s="1" a="1"/>
  <c r="G100" i="2" s="1"/>
  <c r="U100" i="2" s="1"/>
  <c r="T105" i="1"/>
  <c r="G99" i="2" s="1" a="1"/>
  <c r="G99" i="2" s="1"/>
  <c r="U99" i="2" s="1"/>
  <c r="T106" i="1"/>
  <c r="G98" i="2" s="1" a="1"/>
  <c r="G98" i="2" s="1"/>
  <c r="U98" i="2" s="1"/>
  <c r="T104" i="1"/>
  <c r="G97" i="2" s="1" a="1"/>
  <c r="G97" i="2" s="1"/>
  <c r="U97" i="2" s="1"/>
  <c r="T103" i="1"/>
  <c r="G96" i="2" s="1" a="1"/>
  <c r="G96" i="2" s="1"/>
  <c r="U96" i="2" s="1"/>
  <c r="T102" i="1"/>
  <c r="G95" i="2" s="1" a="1"/>
  <c r="G95" i="2" s="1"/>
  <c r="U95" i="2" s="1"/>
  <c r="G94" i="2" a="1"/>
  <c r="G94" i="2" s="1"/>
  <c r="U94" i="2" s="1"/>
  <c r="T93" i="1"/>
  <c r="G93" i="2" s="1" a="1"/>
  <c r="G93" i="2" s="1"/>
  <c r="U93" i="2" s="1"/>
  <c r="T92" i="1"/>
  <c r="G92" i="2" s="1" a="1"/>
  <c r="G92" i="2" s="1"/>
  <c r="U92" i="2" s="1"/>
  <c r="T91" i="1"/>
  <c r="G91" i="2" s="1" a="1"/>
  <c r="G91" i="2" s="1"/>
  <c r="U91" i="2" s="1"/>
  <c r="T90" i="1"/>
  <c r="G90" i="2" s="1" a="1"/>
  <c r="G90" i="2" s="1"/>
  <c r="U90" i="2" s="1"/>
  <c r="T89" i="1"/>
  <c r="G89" i="2" s="1" a="1"/>
  <c r="G89" i="2" s="1"/>
  <c r="U89" i="2" s="1"/>
  <c r="T88" i="1"/>
  <c r="G88" i="2" s="1" a="1"/>
  <c r="G88" i="2" s="1"/>
  <c r="U88" i="2" s="1"/>
  <c r="T87" i="1"/>
  <c r="G87" i="2" s="1" a="1"/>
  <c r="G87" i="2" s="1"/>
  <c r="U87" i="2" s="1"/>
  <c r="T86" i="1"/>
  <c r="G86" i="2" s="1" a="1"/>
  <c r="G86" i="2" s="1"/>
  <c r="U86" i="2" s="1"/>
  <c r="T85" i="1"/>
  <c r="G85" i="2" s="1" a="1"/>
  <c r="G85" i="2" s="1"/>
  <c r="U85" i="2" s="1"/>
  <c r="T84" i="1"/>
  <c r="G84" i="2" s="1" a="1"/>
  <c r="G84" i="2" s="1"/>
  <c r="U84" i="2" s="1"/>
  <c r="T83" i="1"/>
  <c r="G83" i="2" s="1" a="1"/>
  <c r="G83" i="2" s="1"/>
  <c r="U83" i="2" s="1"/>
  <c r="T82" i="1"/>
  <c r="G82" i="2" s="1" a="1"/>
  <c r="G82" i="2" s="1"/>
  <c r="U82" i="2" s="1"/>
  <c r="T81" i="1"/>
  <c r="G81" i="2" s="1" a="1"/>
  <c r="G81" i="2" s="1"/>
  <c r="U81" i="2" s="1"/>
  <c r="T80" i="1"/>
  <c r="G80" i="2" s="1" a="1"/>
  <c r="G80" i="2" s="1"/>
  <c r="U80" i="2" s="1"/>
  <c r="T79" i="1"/>
  <c r="G79" i="2" s="1" a="1"/>
  <c r="G79" i="2" s="1"/>
  <c r="U79" i="2" s="1"/>
  <c r="T78" i="1"/>
  <c r="G78" i="2" s="1" a="1"/>
  <c r="G78" i="2" s="1"/>
  <c r="U78" i="2" s="1"/>
  <c r="T77" i="1"/>
  <c r="G77" i="2" s="1" a="1"/>
  <c r="G77" i="2" s="1"/>
  <c r="U77" i="2" s="1"/>
  <c r="T76" i="1"/>
  <c r="G76" i="2" s="1" a="1"/>
  <c r="G76" i="2" s="1"/>
  <c r="U76" i="2" s="1"/>
  <c r="T75" i="1"/>
  <c r="G75" i="2" s="1" a="1"/>
  <c r="G75" i="2" s="1"/>
  <c r="U75" i="2" s="1"/>
  <c r="T74" i="1"/>
  <c r="G74" i="2" s="1" a="1"/>
  <c r="G74" i="2" s="1"/>
  <c r="U74" i="2" s="1"/>
  <c r="T73" i="1"/>
  <c r="G73" i="2" s="1" a="1"/>
  <c r="G73" i="2" s="1"/>
  <c r="U73" i="2" s="1"/>
  <c r="T72" i="1"/>
  <c r="G72" i="2" s="1" a="1"/>
  <c r="G72" i="2" s="1"/>
  <c r="U72" i="2" s="1"/>
  <c r="T71" i="1"/>
  <c r="G71" i="2" s="1" a="1"/>
  <c r="G71" i="2" s="1"/>
  <c r="U71" i="2" s="1"/>
  <c r="T70" i="1"/>
  <c r="G70" i="2" s="1" a="1"/>
  <c r="G70" i="2" s="1"/>
  <c r="U70" i="2" s="1"/>
  <c r="T69" i="1"/>
  <c r="G69" i="2" s="1" a="1"/>
  <c r="G69" i="2" s="1"/>
  <c r="U69" i="2" s="1"/>
  <c r="T68" i="1"/>
  <c r="G68" i="2" s="1" a="1"/>
  <c r="G68" i="2" s="1"/>
  <c r="U68" i="2" s="1"/>
  <c r="T67" i="1"/>
  <c r="G67" i="2" s="1" a="1"/>
  <c r="G67" i="2" s="1"/>
  <c r="U67" i="2" s="1"/>
  <c r="T66" i="1"/>
  <c r="G66" i="2" s="1" a="1"/>
  <c r="G66" i="2" s="1"/>
  <c r="U66" i="2" s="1"/>
  <c r="T65" i="1"/>
  <c r="G65" i="2" s="1" a="1"/>
  <c r="G65" i="2" s="1"/>
  <c r="U65" i="2" s="1"/>
  <c r="T64" i="1"/>
  <c r="G64" i="2" s="1" a="1"/>
  <c r="G64" i="2" s="1"/>
  <c r="U64" i="2" s="1"/>
  <c r="T63" i="1"/>
  <c r="G63" i="2" s="1" a="1"/>
  <c r="G63" i="2" s="1"/>
  <c r="U63" i="2" s="1"/>
  <c r="T62" i="1"/>
  <c r="G62" i="2" s="1" a="1"/>
  <c r="G62" i="2" s="1"/>
  <c r="U62" i="2" s="1"/>
  <c r="T61" i="1"/>
  <c r="G61" i="2" s="1" a="1"/>
  <c r="G61" i="2" s="1"/>
  <c r="U61" i="2" s="1"/>
  <c r="T60" i="1"/>
  <c r="G60" i="2" s="1" a="1"/>
  <c r="G60" i="2" s="1"/>
  <c r="U60" i="2" s="1"/>
  <c r="T59" i="1"/>
  <c r="G59" i="2" s="1" a="1"/>
  <c r="G59" i="2" s="1"/>
  <c r="U59" i="2" s="1"/>
  <c r="T58" i="1"/>
  <c r="G58" i="2" s="1" a="1"/>
  <c r="G58" i="2" s="1"/>
  <c r="U58" i="2" s="1"/>
  <c r="T57" i="1"/>
  <c r="G57" i="2" s="1" a="1"/>
  <c r="G57" i="2" s="1"/>
  <c r="U57" i="2" s="1"/>
  <c r="T56" i="1"/>
  <c r="G56" i="2" s="1" a="1"/>
  <c r="G56" i="2" s="1"/>
  <c r="U56" i="2" s="1"/>
  <c r="T55" i="1"/>
  <c r="G55" i="2" s="1" a="1"/>
  <c r="G55" i="2" s="1"/>
  <c r="U55" i="2" s="1"/>
  <c r="T54" i="1"/>
  <c r="G54" i="2" s="1" a="1"/>
  <c r="G54" i="2" s="1"/>
  <c r="U54" i="2" s="1"/>
  <c r="T53" i="1"/>
  <c r="G53" i="2" s="1" a="1"/>
  <c r="G53" i="2" s="1"/>
  <c r="U53" i="2" s="1"/>
  <c r="T52" i="1"/>
  <c r="G52" i="2" s="1" a="1"/>
  <c r="G52" i="2" s="1"/>
  <c r="U52" i="2" s="1"/>
  <c r="T51" i="1"/>
  <c r="G51" i="2" s="1" a="1"/>
  <c r="G51" i="2" s="1"/>
  <c r="U51" i="2" s="1"/>
  <c r="T50" i="1"/>
  <c r="G50" i="2" s="1" a="1"/>
  <c r="G50" i="2" s="1"/>
  <c r="U50" i="2" s="1"/>
  <c r="T49" i="1"/>
  <c r="G49" i="2" s="1" a="1"/>
  <c r="G49" i="2" s="1"/>
  <c r="U49" i="2" s="1"/>
  <c r="T48" i="1"/>
  <c r="G48" i="2" s="1" a="1"/>
  <c r="G48" i="2" s="1"/>
  <c r="U48" i="2" s="1"/>
  <c r="T47" i="1"/>
  <c r="G47" i="2" s="1" a="1"/>
  <c r="G47" i="2" s="1"/>
  <c r="U47" i="2" s="1"/>
  <c r="T46" i="1"/>
  <c r="G46" i="2" s="1" a="1"/>
  <c r="G46" i="2" s="1"/>
  <c r="U46" i="2" s="1"/>
  <c r="T45" i="1"/>
  <c r="G45" i="2" s="1" a="1"/>
  <c r="G45" i="2" s="1"/>
  <c r="U45" i="2" s="1"/>
  <c r="T44" i="1"/>
  <c r="G44" i="2" s="1" a="1"/>
  <c r="G44" i="2" s="1"/>
  <c r="U44" i="2" s="1"/>
  <c r="T43" i="1"/>
  <c r="G43" i="2" s="1" a="1"/>
  <c r="G43" i="2" s="1"/>
  <c r="U43" i="2" s="1"/>
  <c r="T42" i="1"/>
  <c r="G42" i="2" s="1" a="1"/>
  <c r="G42" i="2" s="1"/>
  <c r="U42" i="2" s="1"/>
  <c r="T41" i="1"/>
  <c r="G41" i="2" s="1" a="1"/>
  <c r="G41" i="2" s="1"/>
  <c r="U41" i="2" s="1"/>
  <c r="T40" i="1"/>
  <c r="G40" i="2" s="1" a="1"/>
  <c r="G40" i="2" s="1"/>
  <c r="U40" i="2" s="1"/>
  <c r="T39" i="1"/>
  <c r="G39" i="2" s="1" a="1"/>
  <c r="G39" i="2" s="1"/>
  <c r="U39" i="2" s="1"/>
  <c r="T38" i="1"/>
  <c r="G38" i="2" s="1" a="1"/>
  <c r="G38" i="2" s="1"/>
  <c r="U38" i="2" s="1"/>
  <c r="T37" i="1"/>
  <c r="G37" i="2" s="1" a="1"/>
  <c r="G37" i="2" s="1"/>
  <c r="U37" i="2" s="1"/>
  <c r="T36" i="1"/>
  <c r="G36" i="2" s="1" a="1"/>
  <c r="G36" i="2" s="1"/>
  <c r="U36" i="2" s="1"/>
  <c r="T35" i="1"/>
  <c r="G35" i="2" s="1" a="1"/>
  <c r="G35" i="2" s="1"/>
  <c r="U35" i="2" s="1"/>
  <c r="T34" i="1"/>
  <c r="G34" i="2" s="1" a="1"/>
  <c r="G34" i="2" s="1"/>
  <c r="U34" i="2" s="1"/>
  <c r="T33" i="1"/>
  <c r="G33" i="2" s="1" a="1"/>
  <c r="G33" i="2" s="1"/>
  <c r="U33" i="2" s="1"/>
  <c r="T32" i="1"/>
  <c r="G32" i="2" s="1" a="1"/>
  <c r="G32" i="2" s="1"/>
  <c r="U32" i="2" s="1"/>
  <c r="T31" i="1"/>
  <c r="G31" i="2" s="1" a="1"/>
  <c r="G31" i="2" s="1"/>
  <c r="U31" i="2" s="1"/>
  <c r="T30" i="1"/>
  <c r="G30" i="2" s="1" a="1"/>
  <c r="G30" i="2" s="1"/>
  <c r="U30" i="2" s="1"/>
  <c r="T29" i="1"/>
  <c r="G29" i="2" s="1" a="1"/>
  <c r="G29" i="2" s="1"/>
  <c r="U29" i="2" s="1"/>
  <c r="T28" i="1"/>
  <c r="G28" i="2" s="1" a="1"/>
  <c r="G28" i="2" s="1"/>
  <c r="U28" i="2" s="1"/>
  <c r="T27" i="1"/>
  <c r="G27" i="2" s="1" a="1"/>
  <c r="G27" i="2" s="1"/>
  <c r="U27" i="2" s="1"/>
  <c r="T26" i="1"/>
  <c r="G26" i="2" s="1" a="1"/>
  <c r="G26" i="2" s="1"/>
  <c r="U26" i="2" s="1"/>
  <c r="T25" i="1"/>
  <c r="G25" i="2" s="1" a="1"/>
  <c r="G25" i="2" s="1"/>
  <c r="U25" i="2" s="1"/>
  <c r="T24" i="1"/>
  <c r="G24" i="2" s="1" a="1"/>
  <c r="G24" i="2" s="1"/>
  <c r="U24" i="2" s="1"/>
  <c r="T23" i="1"/>
  <c r="G23" i="2" s="1" a="1"/>
  <c r="G23" i="2" s="1"/>
  <c r="U23" i="2" s="1"/>
  <c r="T21" i="1"/>
  <c r="G22" i="2" s="1" a="1"/>
  <c r="G22" i="2" s="1"/>
  <c r="U22" i="2" s="1"/>
  <c r="T20" i="1"/>
  <c r="G21" i="2" s="1" a="1"/>
  <c r="G21" i="2" s="1"/>
  <c r="U21" i="2" s="1"/>
  <c r="T19" i="1"/>
  <c r="G20" i="2" s="1" a="1"/>
  <c r="G20" i="2" s="1"/>
  <c r="U20" i="2" s="1"/>
  <c r="T22" i="1"/>
  <c r="G19" i="2" s="1" a="1"/>
  <c r="G19" i="2" s="1"/>
  <c r="U19" i="2" s="1"/>
  <c r="T18" i="1"/>
  <c r="G18" i="2" s="1" a="1"/>
  <c r="G18" i="2" s="1"/>
  <c r="U18" i="2" s="1"/>
  <c r="T17" i="1"/>
  <c r="G17" i="2" s="1" a="1"/>
  <c r="G17" i="2" s="1"/>
  <c r="U17" i="2" s="1"/>
  <c r="T16" i="1"/>
  <c r="G16" i="2" s="1" a="1"/>
  <c r="G16" i="2" s="1"/>
  <c r="U16" i="2" s="1"/>
  <c r="T14" i="1"/>
  <c r="G15" i="2" s="1" a="1"/>
  <c r="G15" i="2" s="1"/>
  <c r="U15" i="2" s="1"/>
  <c r="T15" i="1"/>
  <c r="G14" i="2" s="1" a="1"/>
  <c r="G14" i="2" s="1"/>
  <c r="U14" i="2" s="1"/>
  <c r="T13" i="1"/>
  <c r="G13" i="2" s="1" a="1"/>
  <c r="G13" i="2" s="1"/>
  <c r="U13" i="2" s="1"/>
  <c r="T12" i="1"/>
  <c r="G12" i="2" s="1" a="1"/>
  <c r="G12" i="2" s="1"/>
  <c r="U12" i="2" s="1"/>
  <c r="T11" i="1"/>
  <c r="G11" i="2" s="1" a="1"/>
  <c r="G11" i="2" s="1"/>
  <c r="U11" i="2" s="1"/>
  <c r="T10" i="1"/>
  <c r="G10" i="2" s="1" a="1"/>
  <c r="G10" i="2" s="1"/>
  <c r="U10" i="2" s="1"/>
  <c r="T9" i="1"/>
  <c r="G9" i="2" s="1" a="1"/>
  <c r="G9" i="2" s="1"/>
  <c r="U9" i="2" s="1"/>
  <c r="T8" i="1"/>
  <c r="G8" i="2" s="1" a="1"/>
  <c r="G8" i="2" s="1"/>
  <c r="U8" i="2" s="1"/>
  <c r="T7" i="1"/>
  <c r="G7" i="2" s="1" a="1"/>
  <c r="G7" i="2" s="1"/>
  <c r="U7" i="2" s="1"/>
  <c r="T6" i="1"/>
  <c r="G6" i="2" s="1" a="1"/>
  <c r="G6" i="2" s="1"/>
  <c r="U6" i="2" s="1"/>
  <c r="T5" i="1"/>
  <c r="G5" i="2" s="1" a="1"/>
  <c r="G5" i="2" s="1"/>
  <c r="U5" i="2" s="1"/>
  <c r="T4" i="1"/>
  <c r="G4" i="2" s="1" a="1"/>
  <c r="G4" i="2" s="1"/>
  <c r="U4" i="2" s="1"/>
  <c r="T3" i="1"/>
  <c r="G3" i="2" s="1" a="1"/>
  <c r="G3" i="2" s="1"/>
  <c r="U3" i="2" s="1"/>
  <c r="T2" i="1"/>
  <c r="G2" i="2" s="1" a="1"/>
  <c r="G2" i="2" s="1"/>
  <c r="U2" i="2" s="1"/>
  <c r="P135" i="1"/>
  <c r="F128" i="2" s="1" a="1"/>
  <c r="F128" i="2" s="1"/>
  <c r="T128" i="2" s="1"/>
  <c r="P134" i="1"/>
  <c r="F127" i="2" s="1" a="1"/>
  <c r="F127" i="2" s="1"/>
  <c r="T127" i="2" s="1"/>
  <c r="P133" i="1"/>
  <c r="F126" i="2" s="1" a="1"/>
  <c r="F126" i="2" s="1"/>
  <c r="T126" i="2" s="1"/>
  <c r="P132" i="1"/>
  <c r="F125" i="2" s="1" a="1"/>
  <c r="F125" i="2" s="1"/>
  <c r="T125" i="2" s="1"/>
  <c r="P131" i="1"/>
  <c r="F124" i="2" s="1" a="1"/>
  <c r="F124" i="2" s="1"/>
  <c r="T124" i="2" s="1"/>
  <c r="P130" i="1"/>
  <c r="F123" i="2" s="1" a="1"/>
  <c r="F123" i="2" s="1"/>
  <c r="T123" i="2" s="1"/>
  <c r="P129" i="1"/>
  <c r="F122" i="2" s="1" a="1"/>
  <c r="F122" i="2" s="1"/>
  <c r="T122" i="2" s="1"/>
  <c r="P128" i="1"/>
  <c r="F121" i="2" s="1" a="1"/>
  <c r="F121" i="2" s="1"/>
  <c r="T121" i="2" s="1"/>
  <c r="P127" i="1"/>
  <c r="F120" i="2" s="1" a="1"/>
  <c r="F120" i="2" s="1"/>
  <c r="T120" i="2" s="1"/>
  <c r="P126" i="1"/>
  <c r="F119" i="2" s="1" a="1"/>
  <c r="F119" i="2" s="1"/>
  <c r="T119" i="2" s="1"/>
  <c r="P125" i="1"/>
  <c r="F118" i="2" s="1" a="1"/>
  <c r="F118" i="2" s="1"/>
  <c r="T118" i="2" s="1"/>
  <c r="P124" i="1"/>
  <c r="F117" i="2" s="1" a="1"/>
  <c r="F117" i="2" s="1"/>
  <c r="T117" i="2" s="1"/>
  <c r="P123" i="1"/>
  <c r="F116" i="2" s="1" a="1"/>
  <c r="F116" i="2" s="1"/>
  <c r="T116" i="2" s="1"/>
  <c r="P122" i="1"/>
  <c r="F115" i="2" s="1" a="1"/>
  <c r="F115" i="2" s="1"/>
  <c r="T115" i="2" s="1"/>
  <c r="P121" i="1"/>
  <c r="F114" i="2" s="1" a="1"/>
  <c r="F114" i="2" s="1"/>
  <c r="T114" i="2" s="1"/>
  <c r="P119" i="1"/>
  <c r="F113" i="2" s="1" a="1"/>
  <c r="F113" i="2" s="1"/>
  <c r="T113" i="2" s="1"/>
  <c r="P120" i="1"/>
  <c r="F112" i="2" s="1" a="1"/>
  <c r="F112" i="2" s="1"/>
  <c r="T112" i="2" s="1"/>
  <c r="P118" i="1"/>
  <c r="F111" i="2" s="1" a="1"/>
  <c r="F111" i="2" s="1"/>
  <c r="T111" i="2" s="1"/>
  <c r="P117" i="1"/>
  <c r="F110" i="2" s="1" a="1"/>
  <c r="F110" i="2" s="1"/>
  <c r="T110" i="2" s="1"/>
  <c r="P116" i="1"/>
  <c r="F109" i="2" s="1" a="1"/>
  <c r="F109" i="2" s="1"/>
  <c r="T109" i="2" s="1"/>
  <c r="P115" i="1"/>
  <c r="F108" i="2" s="1" a="1"/>
  <c r="F108" i="2" s="1"/>
  <c r="T108" i="2" s="1"/>
  <c r="P114" i="1"/>
  <c r="F107" i="2" s="1" a="1"/>
  <c r="F107" i="2" s="1"/>
  <c r="T107" i="2" s="1"/>
  <c r="P113" i="1"/>
  <c r="F106" i="2" s="1" a="1"/>
  <c r="F106" i="2" s="1"/>
  <c r="T106" i="2" s="1"/>
  <c r="P112" i="1"/>
  <c r="F105" i="2" s="1" a="1"/>
  <c r="F105" i="2" s="1"/>
  <c r="T105" i="2" s="1"/>
  <c r="P111" i="1"/>
  <c r="F104" i="2" s="1" a="1"/>
  <c r="F104" i="2" s="1"/>
  <c r="T104" i="2" s="1"/>
  <c r="P110" i="1"/>
  <c r="F103" i="2" s="1" a="1"/>
  <c r="F103" i="2" s="1"/>
  <c r="T103" i="2" s="1"/>
  <c r="P109" i="1"/>
  <c r="F102" i="2" s="1" a="1"/>
  <c r="F102" i="2" s="1"/>
  <c r="T102" i="2" s="1"/>
  <c r="P108" i="1"/>
  <c r="F101" i="2" s="1" a="1"/>
  <c r="F101" i="2" s="1"/>
  <c r="T101" i="2" s="1"/>
  <c r="P107" i="1"/>
  <c r="F100" i="2" s="1" a="1"/>
  <c r="F100" i="2" s="1"/>
  <c r="T100" i="2" s="1"/>
  <c r="P105" i="1"/>
  <c r="F99" i="2" s="1" a="1"/>
  <c r="F99" i="2" s="1"/>
  <c r="T99" i="2" s="1"/>
  <c r="P106" i="1"/>
  <c r="F98" i="2" s="1" a="1"/>
  <c r="F98" i="2" s="1"/>
  <c r="T98" i="2" s="1"/>
  <c r="P104" i="1"/>
  <c r="F97" i="2" s="1" a="1"/>
  <c r="F97" i="2" s="1"/>
  <c r="T97" i="2" s="1"/>
  <c r="P103" i="1"/>
  <c r="F96" i="2" s="1" a="1"/>
  <c r="F96" i="2" s="1"/>
  <c r="T96" i="2" s="1"/>
  <c r="P102" i="1"/>
  <c r="F95" i="2" s="1" a="1"/>
  <c r="F95" i="2" s="1"/>
  <c r="T95" i="2" s="1"/>
  <c r="F94" i="2" a="1"/>
  <c r="F94" i="2" s="1"/>
  <c r="T94" i="2" s="1"/>
  <c r="P93" i="1"/>
  <c r="F93" i="2" s="1" a="1"/>
  <c r="F93" i="2" s="1"/>
  <c r="T93" i="2" s="1"/>
  <c r="P92" i="1"/>
  <c r="F92" i="2" s="1" a="1"/>
  <c r="F92" i="2" s="1"/>
  <c r="T92" i="2" s="1"/>
  <c r="P91" i="1"/>
  <c r="F91" i="2" s="1" a="1"/>
  <c r="F91" i="2" s="1"/>
  <c r="T91" i="2" s="1"/>
  <c r="P90" i="1"/>
  <c r="F90" i="2" s="1" a="1"/>
  <c r="F90" i="2" s="1"/>
  <c r="T90" i="2" s="1"/>
  <c r="P89" i="1"/>
  <c r="F89" i="2" s="1" a="1"/>
  <c r="F89" i="2" s="1"/>
  <c r="T89" i="2" s="1"/>
  <c r="P88" i="1"/>
  <c r="F88" i="2" s="1" a="1"/>
  <c r="F88" i="2" s="1"/>
  <c r="T88" i="2" s="1"/>
  <c r="P87" i="1"/>
  <c r="F87" i="2" s="1" a="1"/>
  <c r="F87" i="2" s="1"/>
  <c r="T87" i="2" s="1"/>
  <c r="P86" i="1"/>
  <c r="F86" i="2" s="1" a="1"/>
  <c r="F86" i="2" s="1"/>
  <c r="T86" i="2" s="1"/>
  <c r="P85" i="1"/>
  <c r="F85" i="2" s="1" a="1"/>
  <c r="F85" i="2" s="1"/>
  <c r="T85" i="2" s="1"/>
  <c r="P84" i="1"/>
  <c r="F84" i="2" s="1" a="1"/>
  <c r="F84" i="2" s="1"/>
  <c r="T84" i="2" s="1"/>
  <c r="P83" i="1"/>
  <c r="F83" i="2" s="1" a="1"/>
  <c r="F83" i="2" s="1"/>
  <c r="T83" i="2" s="1"/>
  <c r="P82" i="1"/>
  <c r="F82" i="2" s="1" a="1"/>
  <c r="F82" i="2" s="1"/>
  <c r="T82" i="2" s="1"/>
  <c r="P81" i="1"/>
  <c r="F81" i="2" s="1" a="1"/>
  <c r="F81" i="2" s="1"/>
  <c r="T81" i="2" s="1"/>
  <c r="P80" i="1"/>
  <c r="F80" i="2" s="1" a="1"/>
  <c r="F80" i="2" s="1"/>
  <c r="T80" i="2" s="1"/>
  <c r="P79" i="1"/>
  <c r="F79" i="2" s="1" a="1"/>
  <c r="F79" i="2" s="1"/>
  <c r="T79" i="2" s="1"/>
  <c r="P78" i="1"/>
  <c r="F78" i="2" s="1" a="1"/>
  <c r="F78" i="2" s="1"/>
  <c r="T78" i="2" s="1"/>
  <c r="P77" i="1"/>
  <c r="F77" i="2" s="1" a="1"/>
  <c r="F77" i="2" s="1"/>
  <c r="T77" i="2" s="1"/>
  <c r="P76" i="1"/>
  <c r="F76" i="2" s="1" a="1"/>
  <c r="F76" i="2" s="1"/>
  <c r="T76" i="2" s="1"/>
  <c r="P75" i="1"/>
  <c r="F75" i="2" s="1" a="1"/>
  <c r="F75" i="2" s="1"/>
  <c r="T75" i="2" s="1"/>
  <c r="P74" i="1"/>
  <c r="F74" i="2" s="1" a="1"/>
  <c r="F74" i="2" s="1"/>
  <c r="T74" i="2" s="1"/>
  <c r="P73" i="1"/>
  <c r="F73" i="2" s="1" a="1"/>
  <c r="F73" i="2" s="1"/>
  <c r="T73" i="2" s="1"/>
  <c r="P72" i="1"/>
  <c r="F72" i="2" s="1" a="1"/>
  <c r="F72" i="2" s="1"/>
  <c r="T72" i="2" s="1"/>
  <c r="P71" i="1"/>
  <c r="F71" i="2" s="1" a="1"/>
  <c r="F71" i="2" s="1"/>
  <c r="T71" i="2" s="1"/>
  <c r="P70" i="1"/>
  <c r="F70" i="2" s="1" a="1"/>
  <c r="F70" i="2" s="1"/>
  <c r="T70" i="2" s="1"/>
  <c r="P69" i="1"/>
  <c r="F69" i="2" s="1" a="1"/>
  <c r="F69" i="2" s="1"/>
  <c r="T69" i="2" s="1"/>
  <c r="P68" i="1"/>
  <c r="F68" i="2" s="1" a="1"/>
  <c r="F68" i="2" s="1"/>
  <c r="T68" i="2" s="1"/>
  <c r="P67" i="1"/>
  <c r="F67" i="2" s="1" a="1"/>
  <c r="F67" i="2" s="1"/>
  <c r="T67" i="2" s="1"/>
  <c r="P66" i="1"/>
  <c r="F66" i="2" s="1" a="1"/>
  <c r="F66" i="2" s="1"/>
  <c r="T66" i="2" s="1"/>
  <c r="P65" i="1"/>
  <c r="F65" i="2" s="1" a="1"/>
  <c r="F65" i="2" s="1"/>
  <c r="T65" i="2" s="1"/>
  <c r="P64" i="1"/>
  <c r="F64" i="2" s="1" a="1"/>
  <c r="F64" i="2" s="1"/>
  <c r="T64" i="2" s="1"/>
  <c r="P63" i="1"/>
  <c r="F63" i="2" s="1" a="1"/>
  <c r="F63" i="2" s="1"/>
  <c r="T63" i="2" s="1"/>
  <c r="P62" i="1"/>
  <c r="F62" i="2" s="1" a="1"/>
  <c r="F62" i="2" s="1"/>
  <c r="T62" i="2" s="1"/>
  <c r="P61" i="1"/>
  <c r="F61" i="2" s="1" a="1"/>
  <c r="F61" i="2" s="1"/>
  <c r="T61" i="2" s="1"/>
  <c r="P60" i="1"/>
  <c r="F60" i="2" s="1" a="1"/>
  <c r="F60" i="2" s="1"/>
  <c r="T60" i="2" s="1"/>
  <c r="P59" i="1"/>
  <c r="F59" i="2" s="1" a="1"/>
  <c r="F59" i="2" s="1"/>
  <c r="T59" i="2" s="1"/>
  <c r="P58" i="1"/>
  <c r="F58" i="2" s="1" a="1"/>
  <c r="F58" i="2" s="1"/>
  <c r="T58" i="2" s="1"/>
  <c r="P57" i="1"/>
  <c r="F57" i="2" s="1" a="1"/>
  <c r="F57" i="2" s="1"/>
  <c r="T57" i="2" s="1"/>
  <c r="P56" i="1"/>
  <c r="F56" i="2" s="1" a="1"/>
  <c r="F56" i="2" s="1"/>
  <c r="T56" i="2" s="1"/>
  <c r="P55" i="1"/>
  <c r="F55" i="2" s="1" a="1"/>
  <c r="F55" i="2" s="1"/>
  <c r="T55" i="2" s="1"/>
  <c r="P54" i="1"/>
  <c r="F54" i="2" s="1" a="1"/>
  <c r="F54" i="2" s="1"/>
  <c r="T54" i="2" s="1"/>
  <c r="P53" i="1"/>
  <c r="F53" i="2" s="1" a="1"/>
  <c r="F53" i="2" s="1"/>
  <c r="T53" i="2" s="1"/>
  <c r="P52" i="1"/>
  <c r="F52" i="2" s="1" a="1"/>
  <c r="F52" i="2" s="1"/>
  <c r="T52" i="2" s="1"/>
  <c r="P51" i="1"/>
  <c r="F51" i="2" s="1" a="1"/>
  <c r="F51" i="2" s="1"/>
  <c r="T51" i="2" s="1"/>
  <c r="P50" i="1"/>
  <c r="F50" i="2" s="1" a="1"/>
  <c r="F50" i="2" s="1"/>
  <c r="T50" i="2" s="1"/>
  <c r="P49" i="1"/>
  <c r="F49" i="2" s="1" a="1"/>
  <c r="F49" i="2" s="1"/>
  <c r="T49" i="2" s="1"/>
  <c r="P48" i="1"/>
  <c r="F48" i="2" s="1" a="1"/>
  <c r="F48" i="2" s="1"/>
  <c r="T48" i="2" s="1"/>
  <c r="P47" i="1"/>
  <c r="F47" i="2" s="1" a="1"/>
  <c r="F47" i="2" s="1"/>
  <c r="T47" i="2" s="1"/>
  <c r="P46" i="1"/>
  <c r="F46" i="2" s="1" a="1"/>
  <c r="F46" i="2" s="1"/>
  <c r="T46" i="2" s="1"/>
  <c r="P45" i="1"/>
  <c r="F45" i="2" s="1" a="1"/>
  <c r="F45" i="2" s="1"/>
  <c r="T45" i="2" s="1"/>
  <c r="P44" i="1"/>
  <c r="F44" i="2" s="1" a="1"/>
  <c r="F44" i="2" s="1"/>
  <c r="T44" i="2" s="1"/>
  <c r="P43" i="1"/>
  <c r="F43" i="2" s="1" a="1"/>
  <c r="F43" i="2" s="1"/>
  <c r="T43" i="2" s="1"/>
  <c r="P42" i="1"/>
  <c r="F42" i="2" s="1" a="1"/>
  <c r="F42" i="2" s="1"/>
  <c r="T42" i="2" s="1"/>
  <c r="P41" i="1"/>
  <c r="F41" i="2" s="1" a="1"/>
  <c r="F41" i="2" s="1"/>
  <c r="T41" i="2" s="1"/>
  <c r="P40" i="1"/>
  <c r="F40" i="2" s="1" a="1"/>
  <c r="F40" i="2" s="1"/>
  <c r="T40" i="2" s="1"/>
  <c r="P39" i="1"/>
  <c r="F39" i="2" s="1" a="1"/>
  <c r="F39" i="2" s="1"/>
  <c r="T39" i="2" s="1"/>
  <c r="P38" i="1"/>
  <c r="F38" i="2" s="1" a="1"/>
  <c r="F38" i="2" s="1"/>
  <c r="T38" i="2" s="1"/>
  <c r="P37" i="1"/>
  <c r="F37" i="2" s="1" a="1"/>
  <c r="F37" i="2" s="1"/>
  <c r="T37" i="2" s="1"/>
  <c r="P36" i="1"/>
  <c r="F36" i="2" s="1" a="1"/>
  <c r="F36" i="2" s="1"/>
  <c r="T36" i="2" s="1"/>
  <c r="P35" i="1"/>
  <c r="F35" i="2" s="1" a="1"/>
  <c r="F35" i="2" s="1"/>
  <c r="T35" i="2" s="1"/>
  <c r="P34" i="1"/>
  <c r="F34" i="2" s="1" a="1"/>
  <c r="F34" i="2" s="1"/>
  <c r="T34" i="2" s="1"/>
  <c r="P33" i="1"/>
  <c r="F33" i="2" s="1" a="1"/>
  <c r="F33" i="2" s="1"/>
  <c r="T33" i="2" s="1"/>
  <c r="P32" i="1"/>
  <c r="F32" i="2" s="1" a="1"/>
  <c r="F32" i="2" s="1"/>
  <c r="T32" i="2" s="1"/>
  <c r="P31" i="1"/>
  <c r="F31" i="2" s="1" a="1"/>
  <c r="F31" i="2" s="1"/>
  <c r="T31" i="2" s="1"/>
  <c r="P30" i="1"/>
  <c r="F30" i="2" s="1" a="1"/>
  <c r="F30" i="2" s="1"/>
  <c r="T30" i="2" s="1"/>
  <c r="P29" i="1"/>
  <c r="F29" i="2" s="1" a="1"/>
  <c r="F29" i="2" s="1"/>
  <c r="T29" i="2" s="1"/>
  <c r="P28" i="1"/>
  <c r="F28" i="2" s="1" a="1"/>
  <c r="F28" i="2" s="1"/>
  <c r="T28" i="2" s="1"/>
  <c r="P27" i="1"/>
  <c r="F27" i="2" s="1" a="1"/>
  <c r="F27" i="2" s="1"/>
  <c r="T27" i="2" s="1"/>
  <c r="P26" i="1"/>
  <c r="F26" i="2" s="1" a="1"/>
  <c r="F26" i="2" s="1"/>
  <c r="T26" i="2" s="1"/>
  <c r="P25" i="1"/>
  <c r="F25" i="2" s="1" a="1"/>
  <c r="F25" i="2" s="1"/>
  <c r="T25" i="2" s="1"/>
  <c r="P24" i="1"/>
  <c r="F24" i="2" s="1" a="1"/>
  <c r="F24" i="2" s="1"/>
  <c r="T24" i="2" s="1"/>
  <c r="P23" i="1"/>
  <c r="F23" i="2" s="1" a="1"/>
  <c r="F23" i="2" s="1"/>
  <c r="T23" i="2" s="1"/>
  <c r="P21" i="1"/>
  <c r="F22" i="2" s="1" a="1"/>
  <c r="F22" i="2" s="1"/>
  <c r="T22" i="2" s="1"/>
  <c r="P20" i="1"/>
  <c r="F21" i="2" s="1" a="1"/>
  <c r="F21" i="2" s="1"/>
  <c r="T21" i="2" s="1"/>
  <c r="P19" i="1"/>
  <c r="F20" i="2" s="1" a="1"/>
  <c r="F20" i="2" s="1"/>
  <c r="T20" i="2" s="1"/>
  <c r="P22" i="1"/>
  <c r="F19" i="2" s="1" a="1"/>
  <c r="F19" i="2" s="1"/>
  <c r="T19" i="2" s="1"/>
  <c r="P18" i="1"/>
  <c r="F18" i="2" s="1" a="1"/>
  <c r="F18" i="2" s="1"/>
  <c r="T18" i="2" s="1"/>
  <c r="P17" i="1"/>
  <c r="F17" i="2" s="1" a="1"/>
  <c r="F17" i="2" s="1"/>
  <c r="T17" i="2" s="1"/>
  <c r="P16" i="1"/>
  <c r="F16" i="2" s="1" a="1"/>
  <c r="F16" i="2" s="1"/>
  <c r="T16" i="2" s="1"/>
  <c r="P14" i="1"/>
  <c r="F15" i="2" s="1" a="1"/>
  <c r="F15" i="2" s="1"/>
  <c r="T15" i="2" s="1"/>
  <c r="P15" i="1"/>
  <c r="F14" i="2" s="1" a="1"/>
  <c r="F14" i="2" s="1"/>
  <c r="T14" i="2" s="1"/>
  <c r="P13" i="1"/>
  <c r="F13" i="2" s="1" a="1"/>
  <c r="F13" i="2" s="1"/>
  <c r="T13" i="2" s="1"/>
  <c r="P12" i="1"/>
  <c r="F12" i="2" s="1" a="1"/>
  <c r="F12" i="2" s="1"/>
  <c r="T12" i="2" s="1"/>
  <c r="P11" i="1"/>
  <c r="F11" i="2" s="1" a="1"/>
  <c r="F11" i="2" s="1"/>
  <c r="T11" i="2" s="1"/>
  <c r="P10" i="1"/>
  <c r="F10" i="2" s="1" a="1"/>
  <c r="F10" i="2" s="1"/>
  <c r="T10" i="2" s="1"/>
  <c r="P9" i="1"/>
  <c r="F9" i="2" s="1" a="1"/>
  <c r="F9" i="2" s="1"/>
  <c r="T9" i="2" s="1"/>
  <c r="P8" i="1"/>
  <c r="F8" i="2" s="1" a="1"/>
  <c r="F8" i="2" s="1"/>
  <c r="T8" i="2" s="1"/>
  <c r="P7" i="1"/>
  <c r="F7" i="2" s="1" a="1"/>
  <c r="F7" i="2" s="1"/>
  <c r="T7" i="2" s="1"/>
  <c r="P6" i="1"/>
  <c r="F6" i="2" s="1" a="1"/>
  <c r="F6" i="2" s="1"/>
  <c r="T6" i="2" s="1"/>
  <c r="P5" i="1"/>
  <c r="F5" i="2" s="1" a="1"/>
  <c r="F5" i="2" s="1"/>
  <c r="T5" i="2" s="1"/>
  <c r="P4" i="1"/>
  <c r="F4" i="2" s="1" a="1"/>
  <c r="F4" i="2" s="1"/>
  <c r="T4" i="2" s="1"/>
  <c r="P3" i="1"/>
  <c r="F3" i="2" s="1" a="1"/>
  <c r="F3" i="2" s="1"/>
  <c r="T3" i="2" s="1"/>
  <c r="P2" i="1"/>
  <c r="F2" i="2" s="1" a="1"/>
  <c r="F2" i="2" s="1"/>
  <c r="T2" i="2" s="1"/>
  <c r="L135" i="1"/>
  <c r="E128" i="2" s="1" a="1"/>
  <c r="E128" i="2" s="1"/>
  <c r="S128" i="2" s="1"/>
  <c r="L134" i="1"/>
  <c r="E127" i="2" s="1" a="1"/>
  <c r="E127" i="2" s="1"/>
  <c r="S127" i="2" s="1"/>
  <c r="L133" i="1"/>
  <c r="E126" i="2" s="1" a="1"/>
  <c r="E126" i="2" s="1"/>
  <c r="S126" i="2" s="1"/>
  <c r="L132" i="1"/>
  <c r="E125" i="2" s="1" a="1"/>
  <c r="E125" i="2" s="1"/>
  <c r="S125" i="2" s="1"/>
  <c r="L131" i="1"/>
  <c r="E124" i="2" s="1" a="1"/>
  <c r="E124" i="2" s="1"/>
  <c r="S124" i="2" s="1"/>
  <c r="L130" i="1"/>
  <c r="E123" i="2" s="1" a="1"/>
  <c r="E123" i="2" s="1"/>
  <c r="S123" i="2" s="1"/>
  <c r="L129" i="1"/>
  <c r="E122" i="2" s="1" a="1"/>
  <c r="E122" i="2" s="1"/>
  <c r="S122" i="2" s="1"/>
  <c r="L128" i="1"/>
  <c r="E121" i="2" s="1" a="1"/>
  <c r="E121" i="2" s="1"/>
  <c r="S121" i="2" s="1"/>
  <c r="L127" i="1"/>
  <c r="E120" i="2" s="1" a="1"/>
  <c r="E120" i="2" s="1"/>
  <c r="S120" i="2" s="1"/>
  <c r="L126" i="1"/>
  <c r="E119" i="2" s="1" a="1"/>
  <c r="E119" i="2" s="1"/>
  <c r="S119" i="2" s="1"/>
  <c r="L125" i="1"/>
  <c r="E118" i="2" s="1" a="1"/>
  <c r="E118" i="2" s="1"/>
  <c r="S118" i="2" s="1"/>
  <c r="L124" i="1"/>
  <c r="E117" i="2" s="1" a="1"/>
  <c r="E117" i="2" s="1"/>
  <c r="S117" i="2" s="1"/>
  <c r="L123" i="1"/>
  <c r="E116" i="2" s="1" a="1"/>
  <c r="E116" i="2" s="1"/>
  <c r="S116" i="2" s="1"/>
  <c r="L122" i="1"/>
  <c r="E115" i="2" s="1" a="1"/>
  <c r="E115" i="2" s="1"/>
  <c r="S115" i="2" s="1"/>
  <c r="L121" i="1"/>
  <c r="E114" i="2" s="1" a="1"/>
  <c r="E114" i="2" s="1"/>
  <c r="S114" i="2" s="1"/>
  <c r="L120" i="1"/>
  <c r="E112" i="2" s="1" a="1"/>
  <c r="E112" i="2" s="1"/>
  <c r="S112" i="2" s="1"/>
  <c r="L118" i="1"/>
  <c r="E111" i="2" s="1" a="1"/>
  <c r="E111" i="2" s="1"/>
  <c r="S111" i="2" s="1"/>
  <c r="L117" i="1"/>
  <c r="E110" i="2" s="1" a="1"/>
  <c r="E110" i="2" s="1"/>
  <c r="S110" i="2" s="1"/>
  <c r="L116" i="1"/>
  <c r="E109" i="2" s="1" a="1"/>
  <c r="E109" i="2" s="1"/>
  <c r="S109" i="2" s="1"/>
  <c r="L115" i="1"/>
  <c r="E108" i="2" s="1" a="1"/>
  <c r="E108" i="2" s="1"/>
  <c r="S108" i="2" s="1"/>
  <c r="L114" i="1"/>
  <c r="E107" i="2" s="1" a="1"/>
  <c r="E107" i="2" s="1"/>
  <c r="S107" i="2" s="1"/>
  <c r="L113" i="1"/>
  <c r="E106" i="2" s="1" a="1"/>
  <c r="E106" i="2" s="1"/>
  <c r="S106" i="2" s="1"/>
  <c r="L112" i="1"/>
  <c r="E105" i="2" s="1" a="1"/>
  <c r="E105" i="2" s="1"/>
  <c r="S105" i="2" s="1"/>
  <c r="L111" i="1"/>
  <c r="E104" i="2" s="1" a="1"/>
  <c r="E104" i="2" s="1"/>
  <c r="S104" i="2" s="1"/>
  <c r="L110" i="1"/>
  <c r="E103" i="2" s="1" a="1"/>
  <c r="E103" i="2" s="1"/>
  <c r="S103" i="2" s="1"/>
  <c r="L109" i="1"/>
  <c r="E102" i="2" s="1" a="1"/>
  <c r="E102" i="2" s="1"/>
  <c r="S102" i="2" s="1"/>
  <c r="L108" i="1"/>
  <c r="E101" i="2" s="1" a="1"/>
  <c r="E101" i="2" s="1"/>
  <c r="S101" i="2" s="1"/>
  <c r="L107" i="1"/>
  <c r="E100" i="2" s="1" a="1"/>
  <c r="E100" i="2" s="1"/>
  <c r="S100" i="2" s="1"/>
  <c r="L105" i="1"/>
  <c r="E99" i="2" s="1" a="1"/>
  <c r="E99" i="2" s="1"/>
  <c r="S99" i="2" s="1"/>
  <c r="L106" i="1"/>
  <c r="E98" i="2" s="1" a="1"/>
  <c r="E98" i="2" s="1"/>
  <c r="S98" i="2" s="1"/>
  <c r="L104" i="1"/>
  <c r="E97" i="2" s="1" a="1"/>
  <c r="E97" i="2" s="1"/>
  <c r="S97" i="2" s="1"/>
  <c r="L103" i="1"/>
  <c r="E96" i="2" s="1" a="1"/>
  <c r="E96" i="2" s="1"/>
  <c r="S96" i="2" s="1"/>
  <c r="L102" i="1"/>
  <c r="E95" i="2" s="1" a="1"/>
  <c r="E95" i="2" s="1"/>
  <c r="S95" i="2" s="1"/>
  <c r="E94" i="2" a="1"/>
  <c r="E94" i="2" s="1"/>
  <c r="S94" i="2" s="1"/>
  <c r="L93" i="1"/>
  <c r="E93" i="2" s="1" a="1"/>
  <c r="E93" i="2" s="1"/>
  <c r="S93" i="2" s="1"/>
  <c r="L92" i="1"/>
  <c r="E92" i="2" s="1" a="1"/>
  <c r="E92" i="2" s="1"/>
  <c r="S92" i="2" s="1"/>
  <c r="L91" i="1"/>
  <c r="E91" i="2" s="1" a="1"/>
  <c r="E91" i="2" s="1"/>
  <c r="S91" i="2" s="1"/>
  <c r="L90" i="1"/>
  <c r="E90" i="2" s="1" a="1"/>
  <c r="E90" i="2" s="1"/>
  <c r="S90" i="2" s="1"/>
  <c r="L89" i="1"/>
  <c r="E89" i="2" s="1" a="1"/>
  <c r="E89" i="2" s="1"/>
  <c r="S89" i="2" s="1"/>
  <c r="L88" i="1"/>
  <c r="E88" i="2" s="1" a="1"/>
  <c r="E88" i="2" s="1"/>
  <c r="S88" i="2" s="1"/>
  <c r="L87" i="1"/>
  <c r="E87" i="2" s="1" a="1"/>
  <c r="E87" i="2" s="1"/>
  <c r="S87" i="2" s="1"/>
  <c r="L86" i="1"/>
  <c r="E86" i="2" s="1" a="1"/>
  <c r="E86" i="2" s="1"/>
  <c r="S86" i="2" s="1"/>
  <c r="L85" i="1"/>
  <c r="E85" i="2" s="1" a="1"/>
  <c r="E85" i="2" s="1"/>
  <c r="S85" i="2" s="1"/>
  <c r="L84" i="1"/>
  <c r="E84" i="2" s="1" a="1"/>
  <c r="E84" i="2" s="1"/>
  <c r="S84" i="2" s="1"/>
  <c r="L83" i="1"/>
  <c r="E83" i="2" s="1" a="1"/>
  <c r="E83" i="2" s="1"/>
  <c r="S83" i="2" s="1"/>
  <c r="L82" i="1"/>
  <c r="E82" i="2" s="1" a="1"/>
  <c r="E82" i="2" s="1"/>
  <c r="S82" i="2" s="1"/>
  <c r="L81" i="1"/>
  <c r="E81" i="2" s="1" a="1"/>
  <c r="E81" i="2" s="1"/>
  <c r="S81" i="2" s="1"/>
  <c r="L80" i="1"/>
  <c r="E80" i="2" s="1" a="1"/>
  <c r="E80" i="2" s="1"/>
  <c r="S80" i="2" s="1"/>
  <c r="L79" i="1"/>
  <c r="E79" i="2" s="1" a="1"/>
  <c r="E79" i="2" s="1"/>
  <c r="S79" i="2" s="1"/>
  <c r="L78" i="1"/>
  <c r="E78" i="2" s="1" a="1"/>
  <c r="E78" i="2" s="1"/>
  <c r="S78" i="2" s="1"/>
  <c r="L77" i="1"/>
  <c r="E77" i="2" s="1" a="1"/>
  <c r="E77" i="2" s="1"/>
  <c r="S77" i="2" s="1"/>
  <c r="L76" i="1"/>
  <c r="E76" i="2" s="1" a="1"/>
  <c r="E76" i="2" s="1"/>
  <c r="S76" i="2" s="1"/>
  <c r="L75" i="1"/>
  <c r="E75" i="2" s="1" a="1"/>
  <c r="E75" i="2" s="1"/>
  <c r="S75" i="2" s="1"/>
  <c r="L74" i="1"/>
  <c r="E74" i="2" s="1" a="1"/>
  <c r="E74" i="2" s="1"/>
  <c r="S74" i="2" s="1"/>
  <c r="L73" i="1"/>
  <c r="E73" i="2" s="1" a="1"/>
  <c r="E73" i="2" s="1"/>
  <c r="S73" i="2" s="1"/>
  <c r="L72" i="1"/>
  <c r="E72" i="2" s="1" a="1"/>
  <c r="E72" i="2" s="1"/>
  <c r="S72" i="2" s="1"/>
  <c r="L71" i="1"/>
  <c r="E71" i="2" s="1" a="1"/>
  <c r="E71" i="2" s="1"/>
  <c r="S71" i="2" s="1"/>
  <c r="L70" i="1"/>
  <c r="E70" i="2" s="1" a="1"/>
  <c r="E70" i="2" s="1"/>
  <c r="S70" i="2" s="1"/>
  <c r="L69" i="1"/>
  <c r="E69" i="2" s="1" a="1"/>
  <c r="E69" i="2" s="1"/>
  <c r="S69" i="2" s="1"/>
  <c r="L68" i="1"/>
  <c r="E68" i="2" s="1" a="1"/>
  <c r="E68" i="2" s="1"/>
  <c r="S68" i="2" s="1"/>
  <c r="L67" i="1"/>
  <c r="E67" i="2" s="1" a="1"/>
  <c r="E67" i="2" s="1"/>
  <c r="S67" i="2" s="1"/>
  <c r="L66" i="1"/>
  <c r="E66" i="2" s="1" a="1"/>
  <c r="E66" i="2" s="1"/>
  <c r="S66" i="2" s="1"/>
  <c r="L65" i="1"/>
  <c r="E65" i="2" s="1" a="1"/>
  <c r="E65" i="2" s="1"/>
  <c r="S65" i="2" s="1"/>
  <c r="L64" i="1"/>
  <c r="E64" i="2" s="1" a="1"/>
  <c r="E64" i="2" s="1"/>
  <c r="S64" i="2" s="1"/>
  <c r="L63" i="1"/>
  <c r="E63" i="2" s="1" a="1"/>
  <c r="E63" i="2" s="1"/>
  <c r="S63" i="2" s="1"/>
  <c r="L62" i="1"/>
  <c r="E62" i="2" s="1" a="1"/>
  <c r="E62" i="2" s="1"/>
  <c r="S62" i="2" s="1"/>
  <c r="L61" i="1"/>
  <c r="E61" i="2" s="1" a="1"/>
  <c r="E61" i="2" s="1"/>
  <c r="S61" i="2" s="1"/>
  <c r="L60" i="1"/>
  <c r="E60" i="2" s="1" a="1"/>
  <c r="E60" i="2" s="1"/>
  <c r="S60" i="2" s="1"/>
  <c r="L59" i="1"/>
  <c r="E59" i="2" s="1" a="1"/>
  <c r="E59" i="2" s="1"/>
  <c r="S59" i="2" s="1"/>
  <c r="L58" i="1"/>
  <c r="E58" i="2" s="1" a="1"/>
  <c r="E58" i="2" s="1"/>
  <c r="S58" i="2" s="1"/>
  <c r="L57" i="1"/>
  <c r="E57" i="2" s="1" a="1"/>
  <c r="E57" i="2" s="1"/>
  <c r="S57" i="2" s="1"/>
  <c r="L56" i="1"/>
  <c r="E56" i="2" s="1" a="1"/>
  <c r="E56" i="2" s="1"/>
  <c r="S56" i="2" s="1"/>
  <c r="L55" i="1"/>
  <c r="E55" i="2" s="1" a="1"/>
  <c r="E55" i="2" s="1"/>
  <c r="S55" i="2" s="1"/>
  <c r="L54" i="1"/>
  <c r="E54" i="2" s="1" a="1"/>
  <c r="E54" i="2" s="1"/>
  <c r="S54" i="2" s="1"/>
  <c r="L53" i="1"/>
  <c r="E53" i="2" s="1" a="1"/>
  <c r="E53" i="2" s="1"/>
  <c r="S53" i="2" s="1"/>
  <c r="L52" i="1"/>
  <c r="E52" i="2" s="1" a="1"/>
  <c r="E52" i="2" s="1"/>
  <c r="S52" i="2" s="1"/>
  <c r="L51" i="1"/>
  <c r="E51" i="2" s="1" a="1"/>
  <c r="E51" i="2" s="1"/>
  <c r="S51" i="2" s="1"/>
  <c r="L50" i="1"/>
  <c r="E50" i="2" s="1" a="1"/>
  <c r="E50" i="2" s="1"/>
  <c r="S50" i="2" s="1"/>
  <c r="L49" i="1"/>
  <c r="E49" i="2" s="1" a="1"/>
  <c r="E49" i="2" s="1"/>
  <c r="S49" i="2" s="1"/>
  <c r="L48" i="1"/>
  <c r="E48" i="2" s="1" a="1"/>
  <c r="E48" i="2" s="1"/>
  <c r="S48" i="2" s="1"/>
  <c r="L47" i="1"/>
  <c r="E47" i="2" s="1" a="1"/>
  <c r="E47" i="2" s="1"/>
  <c r="S47" i="2" s="1"/>
  <c r="L46" i="1"/>
  <c r="E46" i="2" s="1" a="1"/>
  <c r="E46" i="2" s="1"/>
  <c r="S46" i="2" s="1"/>
  <c r="L45" i="1"/>
  <c r="E45" i="2" s="1" a="1"/>
  <c r="E45" i="2" s="1"/>
  <c r="S45" i="2" s="1"/>
  <c r="L44" i="1"/>
  <c r="E44" i="2" s="1" a="1"/>
  <c r="E44" i="2" s="1"/>
  <c r="S44" i="2" s="1"/>
  <c r="L43" i="1"/>
  <c r="E43" i="2" s="1" a="1"/>
  <c r="E43" i="2" s="1"/>
  <c r="S43" i="2" s="1"/>
  <c r="L42" i="1"/>
  <c r="E42" i="2" s="1" a="1"/>
  <c r="E42" i="2" s="1"/>
  <c r="S42" i="2" s="1"/>
  <c r="L41" i="1"/>
  <c r="E41" i="2" s="1" a="1"/>
  <c r="E41" i="2" s="1"/>
  <c r="S41" i="2" s="1"/>
  <c r="L40" i="1"/>
  <c r="E40" i="2" s="1" a="1"/>
  <c r="E40" i="2" s="1"/>
  <c r="S40" i="2" s="1"/>
  <c r="L39" i="1"/>
  <c r="E39" i="2" s="1" a="1"/>
  <c r="E39" i="2" s="1"/>
  <c r="S39" i="2" s="1"/>
  <c r="L38" i="1"/>
  <c r="E38" i="2" s="1" a="1"/>
  <c r="E38" i="2" s="1"/>
  <c r="S38" i="2" s="1"/>
  <c r="L36" i="1"/>
  <c r="E36" i="2" s="1" a="1"/>
  <c r="E36" i="2" s="1"/>
  <c r="S36" i="2" s="1"/>
  <c r="L35" i="1"/>
  <c r="E35" i="2" s="1" a="1"/>
  <c r="E35" i="2" s="1"/>
  <c r="S35" i="2" s="1"/>
  <c r="L34" i="1"/>
  <c r="E34" i="2" s="1" a="1"/>
  <c r="E34" i="2" s="1"/>
  <c r="S34" i="2" s="1"/>
  <c r="L33" i="1"/>
  <c r="E33" i="2" s="1" a="1"/>
  <c r="E33" i="2" s="1"/>
  <c r="S33" i="2" s="1"/>
  <c r="L32" i="1"/>
  <c r="E32" i="2" s="1" a="1"/>
  <c r="E32" i="2" s="1"/>
  <c r="S32" i="2" s="1"/>
  <c r="L31" i="1"/>
  <c r="E31" i="2" s="1" a="1"/>
  <c r="E31" i="2" s="1"/>
  <c r="S31" i="2" s="1"/>
  <c r="L30" i="1"/>
  <c r="E30" i="2" s="1" a="1"/>
  <c r="E30" i="2" s="1"/>
  <c r="S30" i="2" s="1"/>
  <c r="L29" i="1"/>
  <c r="E29" i="2" s="1" a="1"/>
  <c r="E29" i="2" s="1"/>
  <c r="S29" i="2" s="1"/>
  <c r="L28" i="1"/>
  <c r="E28" i="2" s="1" a="1"/>
  <c r="E28" i="2" s="1"/>
  <c r="S28" i="2" s="1"/>
  <c r="L27" i="1"/>
  <c r="E27" i="2" s="1" a="1"/>
  <c r="E27" i="2" s="1"/>
  <c r="S27" i="2" s="1"/>
  <c r="L26" i="1"/>
  <c r="E26" i="2" s="1" a="1"/>
  <c r="E26" i="2" s="1"/>
  <c r="S26" i="2" s="1"/>
  <c r="L25" i="1"/>
  <c r="E25" i="2" s="1" a="1"/>
  <c r="E25" i="2" s="1"/>
  <c r="S25" i="2" s="1"/>
  <c r="L24" i="1"/>
  <c r="E24" i="2" s="1" a="1"/>
  <c r="E24" i="2" s="1"/>
  <c r="S24" i="2" s="1"/>
  <c r="L23" i="1"/>
  <c r="E23" i="2" s="1" a="1"/>
  <c r="E23" i="2" s="1"/>
  <c r="S23" i="2" s="1"/>
  <c r="L21" i="1"/>
  <c r="E22" i="2" s="1" a="1"/>
  <c r="E22" i="2" s="1"/>
  <c r="S22" i="2" s="1"/>
  <c r="L20" i="1"/>
  <c r="E21" i="2" s="1" a="1"/>
  <c r="E21" i="2" s="1"/>
  <c r="S21" i="2" s="1"/>
  <c r="L19" i="1"/>
  <c r="E20" i="2" s="1" a="1"/>
  <c r="E20" i="2" s="1"/>
  <c r="S20" i="2" s="1"/>
  <c r="L22" i="1"/>
  <c r="E19" i="2" s="1" a="1"/>
  <c r="E19" i="2" s="1"/>
  <c r="S19" i="2" s="1"/>
  <c r="L18" i="1"/>
  <c r="E18" i="2" s="1" a="1"/>
  <c r="E18" i="2" s="1"/>
  <c r="S18" i="2" s="1"/>
  <c r="L17" i="1"/>
  <c r="E17" i="2" s="1" a="1"/>
  <c r="E17" i="2" s="1"/>
  <c r="S17" i="2" s="1"/>
  <c r="L16" i="1"/>
  <c r="E16" i="2" s="1" a="1"/>
  <c r="E16" i="2" s="1"/>
  <c r="S16" i="2" s="1"/>
  <c r="L14" i="1"/>
  <c r="E15" i="2" s="1" a="1"/>
  <c r="E15" i="2" s="1"/>
  <c r="S15" i="2" s="1"/>
  <c r="L15" i="1"/>
  <c r="E14" i="2" s="1" a="1"/>
  <c r="E14" i="2" s="1"/>
  <c r="S14" i="2" s="1"/>
  <c r="L13" i="1"/>
  <c r="E13" i="2" s="1" a="1"/>
  <c r="E13" i="2" s="1"/>
  <c r="S13" i="2" s="1"/>
  <c r="L12" i="1"/>
  <c r="E12" i="2" s="1" a="1"/>
  <c r="E12" i="2" s="1"/>
  <c r="S12" i="2" s="1"/>
  <c r="L11" i="1"/>
  <c r="E11" i="2" s="1" a="1"/>
  <c r="E11" i="2" s="1"/>
  <c r="S11" i="2" s="1"/>
  <c r="L10" i="1"/>
  <c r="E10" i="2" s="1" a="1"/>
  <c r="E10" i="2" s="1"/>
  <c r="S10" i="2" s="1"/>
  <c r="L9" i="1"/>
  <c r="E9" i="2" s="1" a="1"/>
  <c r="E9" i="2" s="1"/>
  <c r="S9" i="2" s="1"/>
  <c r="L8" i="1"/>
  <c r="E8" i="2" s="1" a="1"/>
  <c r="E8" i="2" s="1"/>
  <c r="S8" i="2" s="1"/>
  <c r="L7" i="1"/>
  <c r="E7" i="2" s="1" a="1"/>
  <c r="E7" i="2" s="1"/>
  <c r="S7" i="2" s="1"/>
  <c r="L6" i="1"/>
  <c r="E6" i="2" s="1" a="1"/>
  <c r="E6" i="2" s="1"/>
  <c r="S6" i="2" s="1"/>
  <c r="L5" i="1"/>
  <c r="E5" i="2" s="1" a="1"/>
  <c r="E5" i="2" s="1"/>
  <c r="S5" i="2" s="1"/>
  <c r="L4" i="1"/>
  <c r="E4" i="2" s="1" a="1"/>
  <c r="E4" i="2" s="1"/>
  <c r="S4" i="2" s="1"/>
  <c r="L3" i="1"/>
  <c r="E3" i="2" s="1" a="1"/>
  <c r="E3" i="2" s="1"/>
  <c r="S3" i="2" s="1"/>
  <c r="L2" i="1"/>
  <c r="E2" i="2" s="1" a="1"/>
  <c r="E2" i="2" s="1"/>
  <c r="S2" i="2" s="1"/>
  <c r="H135" i="1"/>
  <c r="D128" i="2" s="1" a="1"/>
  <c r="D128" i="2" s="1"/>
  <c r="R128" i="2" s="1"/>
  <c r="H134" i="1"/>
  <c r="D127" i="2" s="1" a="1"/>
  <c r="D127" i="2" s="1"/>
  <c r="R127" i="2" s="1"/>
  <c r="H133" i="1"/>
  <c r="D126" i="2" s="1" a="1"/>
  <c r="D126" i="2" s="1"/>
  <c r="R126" i="2" s="1"/>
  <c r="H132" i="1"/>
  <c r="D125" i="2" s="1" a="1"/>
  <c r="D125" i="2" s="1"/>
  <c r="R125" i="2" s="1"/>
  <c r="H131" i="1"/>
  <c r="D124" i="2" s="1" a="1"/>
  <c r="D124" i="2" s="1"/>
  <c r="R124" i="2" s="1"/>
  <c r="H130" i="1"/>
  <c r="D123" i="2" s="1" a="1"/>
  <c r="D123" i="2" s="1"/>
  <c r="R123" i="2" s="1"/>
  <c r="H129" i="1"/>
  <c r="D122" i="2" s="1" a="1"/>
  <c r="D122" i="2" s="1"/>
  <c r="R122" i="2" s="1"/>
  <c r="H128" i="1"/>
  <c r="D121" i="2" s="1" a="1"/>
  <c r="D121" i="2" s="1"/>
  <c r="R121" i="2" s="1"/>
  <c r="H127" i="1"/>
  <c r="D120" i="2" s="1" a="1"/>
  <c r="D120" i="2" s="1"/>
  <c r="R120" i="2" s="1"/>
  <c r="H126" i="1"/>
  <c r="D119" i="2" s="1" a="1"/>
  <c r="D119" i="2" s="1"/>
  <c r="R119" i="2" s="1"/>
  <c r="H125" i="1"/>
  <c r="D118" i="2" s="1" a="1"/>
  <c r="D118" i="2" s="1"/>
  <c r="R118" i="2" s="1"/>
  <c r="H124" i="1"/>
  <c r="D117" i="2" s="1" a="1"/>
  <c r="D117" i="2" s="1"/>
  <c r="R117" i="2" s="1"/>
  <c r="H123" i="1"/>
  <c r="D116" i="2" s="1" a="1"/>
  <c r="D116" i="2" s="1"/>
  <c r="R116" i="2" s="1"/>
  <c r="H122" i="1"/>
  <c r="D115" i="2" s="1" a="1"/>
  <c r="D115" i="2" s="1"/>
  <c r="R115" i="2" s="1"/>
  <c r="H121" i="1"/>
  <c r="D114" i="2" s="1" a="1"/>
  <c r="D114" i="2" s="1"/>
  <c r="R114" i="2" s="1"/>
  <c r="H119" i="1"/>
  <c r="D113" i="2" s="1" a="1"/>
  <c r="D113" i="2" s="1"/>
  <c r="R113" i="2" s="1"/>
  <c r="H120" i="1"/>
  <c r="D112" i="2" s="1" a="1"/>
  <c r="D112" i="2" s="1"/>
  <c r="R112" i="2" s="1"/>
  <c r="H118" i="1"/>
  <c r="D111" i="2" s="1" a="1"/>
  <c r="D111" i="2" s="1"/>
  <c r="R111" i="2" s="1"/>
  <c r="H117" i="1"/>
  <c r="D110" i="2" s="1" a="1"/>
  <c r="D110" i="2" s="1"/>
  <c r="R110" i="2" s="1"/>
  <c r="H116" i="1"/>
  <c r="D109" i="2" s="1" a="1"/>
  <c r="D109" i="2" s="1"/>
  <c r="R109" i="2" s="1"/>
  <c r="H115" i="1"/>
  <c r="D108" i="2" s="1" a="1"/>
  <c r="D108" i="2" s="1"/>
  <c r="R108" i="2" s="1"/>
  <c r="H114" i="1"/>
  <c r="D107" i="2" s="1" a="1"/>
  <c r="D107" i="2" s="1"/>
  <c r="R107" i="2" s="1"/>
  <c r="H113" i="1"/>
  <c r="D106" i="2" s="1" a="1"/>
  <c r="D106" i="2" s="1"/>
  <c r="R106" i="2" s="1"/>
  <c r="H112" i="1"/>
  <c r="D105" i="2" s="1" a="1"/>
  <c r="D105" i="2" s="1"/>
  <c r="R105" i="2" s="1"/>
  <c r="H111" i="1"/>
  <c r="D104" i="2" s="1" a="1"/>
  <c r="D104" i="2" s="1"/>
  <c r="R104" i="2" s="1"/>
  <c r="H110" i="1"/>
  <c r="D103" i="2" s="1" a="1"/>
  <c r="D103" i="2" s="1"/>
  <c r="R103" i="2" s="1"/>
  <c r="H109" i="1"/>
  <c r="D102" i="2" s="1" a="1"/>
  <c r="D102" i="2" s="1"/>
  <c r="R102" i="2" s="1"/>
  <c r="H108" i="1"/>
  <c r="D101" i="2" s="1" a="1"/>
  <c r="D101" i="2" s="1"/>
  <c r="R101" i="2" s="1"/>
  <c r="H107" i="1"/>
  <c r="D100" i="2" s="1" a="1"/>
  <c r="D100" i="2" s="1"/>
  <c r="R100" i="2" s="1"/>
  <c r="H105" i="1"/>
  <c r="D99" i="2" s="1" a="1"/>
  <c r="D99" i="2" s="1"/>
  <c r="R99" i="2" s="1"/>
  <c r="H106" i="1"/>
  <c r="D98" i="2" s="1" a="1"/>
  <c r="D98" i="2" s="1"/>
  <c r="R98" i="2" s="1"/>
  <c r="H104" i="1"/>
  <c r="D97" i="2" s="1" a="1"/>
  <c r="D97" i="2" s="1"/>
  <c r="R97" i="2" s="1"/>
  <c r="H103" i="1"/>
  <c r="D96" i="2" s="1" a="1"/>
  <c r="D96" i="2" s="1"/>
  <c r="R96" i="2" s="1"/>
  <c r="H102" i="1"/>
  <c r="D95" i="2" s="1" a="1"/>
  <c r="D95" i="2" s="1"/>
  <c r="R95" i="2" s="1"/>
  <c r="D94" i="2" a="1"/>
  <c r="D94" i="2" s="1"/>
  <c r="R94" i="2" s="1"/>
  <c r="H93" i="1"/>
  <c r="D93" i="2" s="1" a="1"/>
  <c r="D93" i="2" s="1"/>
  <c r="R93" i="2" s="1"/>
  <c r="H92" i="1"/>
  <c r="D92" i="2" s="1" a="1"/>
  <c r="D92" i="2" s="1"/>
  <c r="R92" i="2" s="1"/>
  <c r="H91" i="1"/>
  <c r="D91" i="2" s="1" a="1"/>
  <c r="D91" i="2" s="1"/>
  <c r="R91" i="2" s="1"/>
  <c r="H90" i="1"/>
  <c r="D90" i="2" s="1" a="1"/>
  <c r="D90" i="2" s="1"/>
  <c r="R90" i="2" s="1"/>
  <c r="H89" i="1"/>
  <c r="D89" i="2" s="1" a="1"/>
  <c r="D89" i="2" s="1"/>
  <c r="R89" i="2" s="1"/>
  <c r="H88" i="1"/>
  <c r="D88" i="2" s="1" a="1"/>
  <c r="D88" i="2" s="1"/>
  <c r="R88" i="2" s="1"/>
  <c r="H87" i="1"/>
  <c r="D87" i="2" s="1" a="1"/>
  <c r="D87" i="2" s="1"/>
  <c r="R87" i="2" s="1"/>
  <c r="H86" i="1"/>
  <c r="D86" i="2" s="1" a="1"/>
  <c r="D86" i="2" s="1"/>
  <c r="R86" i="2" s="1"/>
  <c r="H85" i="1"/>
  <c r="D85" i="2" s="1" a="1"/>
  <c r="D85" i="2" s="1"/>
  <c r="R85" i="2" s="1"/>
  <c r="H84" i="1"/>
  <c r="D84" i="2" s="1" a="1"/>
  <c r="D84" i="2" s="1"/>
  <c r="R84" i="2" s="1"/>
  <c r="H83" i="1"/>
  <c r="D83" i="2" s="1" a="1"/>
  <c r="D83" i="2" s="1"/>
  <c r="R83" i="2" s="1"/>
  <c r="H82" i="1"/>
  <c r="D82" i="2" s="1" a="1"/>
  <c r="D82" i="2" s="1"/>
  <c r="R82" i="2" s="1"/>
  <c r="H81" i="1"/>
  <c r="D81" i="2" s="1" a="1"/>
  <c r="D81" i="2" s="1"/>
  <c r="R81" i="2" s="1"/>
  <c r="H80" i="1"/>
  <c r="D80" i="2" s="1" a="1"/>
  <c r="D80" i="2" s="1"/>
  <c r="R80" i="2" s="1"/>
  <c r="H79" i="1"/>
  <c r="D79" i="2" s="1" a="1"/>
  <c r="D79" i="2" s="1"/>
  <c r="R79" i="2" s="1"/>
  <c r="H78" i="1"/>
  <c r="D78" i="2" s="1" a="1"/>
  <c r="D78" i="2" s="1"/>
  <c r="R78" i="2" s="1"/>
  <c r="H77" i="1"/>
  <c r="D77" i="2" s="1" a="1"/>
  <c r="D77" i="2" s="1"/>
  <c r="R77" i="2" s="1"/>
  <c r="H76" i="1"/>
  <c r="D76" i="2" s="1" a="1"/>
  <c r="D76" i="2" s="1"/>
  <c r="R76" i="2" s="1"/>
  <c r="H75" i="1"/>
  <c r="D75" i="2" s="1" a="1"/>
  <c r="D75" i="2" s="1"/>
  <c r="R75" i="2" s="1"/>
  <c r="H74" i="1"/>
  <c r="D74" i="2" s="1" a="1"/>
  <c r="D74" i="2" s="1"/>
  <c r="R74" i="2" s="1"/>
  <c r="H73" i="1"/>
  <c r="D73" i="2" s="1" a="1"/>
  <c r="D73" i="2" s="1"/>
  <c r="R73" i="2" s="1"/>
  <c r="H72" i="1"/>
  <c r="D72" i="2" s="1" a="1"/>
  <c r="D72" i="2" s="1"/>
  <c r="R72" i="2" s="1"/>
  <c r="H71" i="1"/>
  <c r="D71" i="2" s="1" a="1"/>
  <c r="D71" i="2" s="1"/>
  <c r="R71" i="2" s="1"/>
  <c r="H70" i="1"/>
  <c r="D70" i="2" s="1" a="1"/>
  <c r="D70" i="2" s="1"/>
  <c r="R70" i="2" s="1"/>
  <c r="H69" i="1"/>
  <c r="D69" i="2" s="1" a="1"/>
  <c r="D69" i="2" s="1"/>
  <c r="R69" i="2" s="1"/>
  <c r="H68" i="1"/>
  <c r="D68" i="2" s="1" a="1"/>
  <c r="D68" i="2" s="1"/>
  <c r="R68" i="2" s="1"/>
  <c r="H67" i="1"/>
  <c r="D67" i="2" s="1" a="1"/>
  <c r="D67" i="2" s="1"/>
  <c r="R67" i="2" s="1"/>
  <c r="H66" i="1"/>
  <c r="D66" i="2" s="1" a="1"/>
  <c r="D66" i="2" s="1"/>
  <c r="R66" i="2" s="1"/>
  <c r="H65" i="1"/>
  <c r="D65" i="2" s="1" a="1"/>
  <c r="D65" i="2" s="1"/>
  <c r="R65" i="2" s="1"/>
  <c r="H64" i="1"/>
  <c r="D64" i="2" s="1" a="1"/>
  <c r="D64" i="2" s="1"/>
  <c r="R64" i="2" s="1"/>
  <c r="H63" i="1"/>
  <c r="D63" i="2" s="1" a="1"/>
  <c r="D63" i="2" s="1"/>
  <c r="R63" i="2" s="1"/>
  <c r="H62" i="1"/>
  <c r="D62" i="2" s="1" a="1"/>
  <c r="D62" i="2" s="1"/>
  <c r="R62" i="2" s="1"/>
  <c r="H61" i="1"/>
  <c r="D61" i="2" s="1" a="1"/>
  <c r="D61" i="2" s="1"/>
  <c r="R61" i="2" s="1"/>
  <c r="H60" i="1"/>
  <c r="D60" i="2" s="1" a="1"/>
  <c r="D60" i="2" s="1"/>
  <c r="R60" i="2" s="1"/>
  <c r="H59" i="1"/>
  <c r="D59" i="2" s="1" a="1"/>
  <c r="D59" i="2" s="1"/>
  <c r="R59" i="2" s="1"/>
  <c r="H58" i="1"/>
  <c r="D58" i="2" s="1" a="1"/>
  <c r="D58" i="2" s="1"/>
  <c r="R58" i="2" s="1"/>
  <c r="H57" i="1"/>
  <c r="D57" i="2" s="1" a="1"/>
  <c r="D57" i="2" s="1"/>
  <c r="R57" i="2" s="1"/>
  <c r="H56" i="1"/>
  <c r="D56" i="2" s="1" a="1"/>
  <c r="D56" i="2" s="1"/>
  <c r="R56" i="2" s="1"/>
  <c r="H55" i="1"/>
  <c r="D55" i="2" s="1" a="1"/>
  <c r="D55" i="2" s="1"/>
  <c r="R55" i="2" s="1"/>
  <c r="H54" i="1"/>
  <c r="D54" i="2" s="1" a="1"/>
  <c r="D54" i="2" s="1"/>
  <c r="R54" i="2" s="1"/>
  <c r="H53" i="1"/>
  <c r="D53" i="2" s="1" a="1"/>
  <c r="D53" i="2" s="1"/>
  <c r="R53" i="2" s="1"/>
  <c r="H52" i="1"/>
  <c r="D52" i="2" s="1" a="1"/>
  <c r="D52" i="2" s="1"/>
  <c r="R52" i="2" s="1"/>
  <c r="H51" i="1"/>
  <c r="D51" i="2" s="1" a="1"/>
  <c r="D51" i="2" s="1"/>
  <c r="R51" i="2" s="1"/>
  <c r="H50" i="1"/>
  <c r="D50" i="2" s="1" a="1"/>
  <c r="D50" i="2" s="1"/>
  <c r="R50" i="2" s="1"/>
  <c r="H49" i="1"/>
  <c r="D49" i="2" s="1" a="1"/>
  <c r="D49" i="2" s="1"/>
  <c r="R49" i="2" s="1"/>
  <c r="H48" i="1"/>
  <c r="D48" i="2" s="1" a="1"/>
  <c r="D48" i="2" s="1"/>
  <c r="R48" i="2" s="1"/>
  <c r="H47" i="1"/>
  <c r="D47" i="2" s="1" a="1"/>
  <c r="D47" i="2" s="1"/>
  <c r="R47" i="2" s="1"/>
  <c r="H46" i="1"/>
  <c r="D46" i="2" s="1" a="1"/>
  <c r="D46" i="2" s="1"/>
  <c r="R46" i="2" s="1"/>
  <c r="H45" i="1"/>
  <c r="D45" i="2" s="1" a="1"/>
  <c r="D45" i="2" s="1"/>
  <c r="R45" i="2" s="1"/>
  <c r="H44" i="1"/>
  <c r="D44" i="2" s="1" a="1"/>
  <c r="D44" i="2" s="1"/>
  <c r="R44" i="2" s="1"/>
  <c r="H43" i="1"/>
  <c r="D43" i="2" s="1" a="1"/>
  <c r="D43" i="2" s="1"/>
  <c r="R43" i="2" s="1"/>
  <c r="H42" i="1"/>
  <c r="D42" i="2" s="1" a="1"/>
  <c r="D42" i="2" s="1"/>
  <c r="R42" i="2" s="1"/>
  <c r="H41" i="1"/>
  <c r="D41" i="2" s="1" a="1"/>
  <c r="D41" i="2" s="1"/>
  <c r="R41" i="2" s="1"/>
  <c r="H40" i="1"/>
  <c r="D40" i="2" s="1" a="1"/>
  <c r="D40" i="2" s="1"/>
  <c r="R40" i="2" s="1"/>
  <c r="H39" i="1"/>
  <c r="D39" i="2" s="1" a="1"/>
  <c r="D39" i="2" s="1"/>
  <c r="R39" i="2" s="1"/>
  <c r="H38" i="1"/>
  <c r="D38" i="2" s="1" a="1"/>
  <c r="D38" i="2" s="1"/>
  <c r="R38" i="2" s="1"/>
  <c r="H37" i="1"/>
  <c r="D37" i="2" s="1" a="1"/>
  <c r="D37" i="2" s="1"/>
  <c r="R37" i="2" s="1"/>
  <c r="H36" i="1"/>
  <c r="D36" i="2" s="1" a="1"/>
  <c r="D36" i="2" s="1"/>
  <c r="R36" i="2" s="1"/>
  <c r="H35" i="1"/>
  <c r="D35" i="2" s="1" a="1"/>
  <c r="D35" i="2" s="1"/>
  <c r="R35" i="2" s="1"/>
  <c r="H34" i="1"/>
  <c r="D34" i="2" s="1" a="1"/>
  <c r="D34" i="2" s="1"/>
  <c r="R34" i="2" s="1"/>
  <c r="H33" i="1"/>
  <c r="D33" i="2" s="1" a="1"/>
  <c r="D33" i="2" s="1"/>
  <c r="R33" i="2" s="1"/>
  <c r="H32" i="1"/>
  <c r="D32" i="2" s="1" a="1"/>
  <c r="D32" i="2" s="1"/>
  <c r="R32" i="2" s="1"/>
  <c r="H31" i="1"/>
  <c r="D31" i="2" s="1" a="1"/>
  <c r="D31" i="2" s="1"/>
  <c r="R31" i="2" s="1"/>
  <c r="H30" i="1"/>
  <c r="D30" i="2" s="1" a="1"/>
  <c r="D30" i="2" s="1"/>
  <c r="R30" i="2" s="1"/>
  <c r="H29" i="1"/>
  <c r="D29" i="2" s="1" a="1"/>
  <c r="D29" i="2" s="1"/>
  <c r="R29" i="2" s="1"/>
  <c r="H28" i="1"/>
  <c r="D28" i="2" s="1" a="1"/>
  <c r="D28" i="2" s="1"/>
  <c r="R28" i="2" s="1"/>
  <c r="H27" i="1"/>
  <c r="D27" i="2" s="1" a="1"/>
  <c r="D27" i="2" s="1"/>
  <c r="R27" i="2" s="1"/>
  <c r="H26" i="1"/>
  <c r="D26" i="2" s="1" a="1"/>
  <c r="D26" i="2" s="1"/>
  <c r="R26" i="2" s="1"/>
  <c r="H25" i="1"/>
  <c r="D25" i="2" s="1" a="1"/>
  <c r="D25" i="2" s="1"/>
  <c r="R25" i="2" s="1"/>
  <c r="H24" i="1"/>
  <c r="D24" i="2" s="1" a="1"/>
  <c r="D24" i="2" s="1"/>
  <c r="R24" i="2" s="1"/>
  <c r="H23" i="1"/>
  <c r="D23" i="2" s="1" a="1"/>
  <c r="D23" i="2" s="1"/>
  <c r="R23" i="2" s="1"/>
  <c r="H21" i="1"/>
  <c r="D22" i="2" s="1" a="1"/>
  <c r="D22" i="2" s="1"/>
  <c r="R22" i="2" s="1"/>
  <c r="H20" i="1"/>
  <c r="D21" i="2" s="1" a="1"/>
  <c r="D21" i="2" s="1"/>
  <c r="R21" i="2" s="1"/>
  <c r="H19" i="1"/>
  <c r="D20" i="2" s="1" a="1"/>
  <c r="D20" i="2" s="1"/>
  <c r="R20" i="2" s="1"/>
  <c r="H22" i="1"/>
  <c r="D19" i="2" s="1" a="1"/>
  <c r="D19" i="2" s="1"/>
  <c r="R19" i="2" s="1"/>
  <c r="H18" i="1"/>
  <c r="D18" i="2" s="1" a="1"/>
  <c r="D18" i="2" s="1"/>
  <c r="R18" i="2" s="1"/>
  <c r="H17" i="1"/>
  <c r="D17" i="2" s="1" a="1"/>
  <c r="D17" i="2" s="1"/>
  <c r="R17" i="2" s="1"/>
  <c r="H16" i="1"/>
  <c r="D16" i="2" s="1" a="1"/>
  <c r="D16" i="2" s="1"/>
  <c r="R16" i="2" s="1"/>
  <c r="H14" i="1"/>
  <c r="D15" i="2" s="1" a="1"/>
  <c r="D15" i="2" s="1"/>
  <c r="R15" i="2" s="1"/>
  <c r="H15" i="1"/>
  <c r="D14" i="2" s="1" a="1"/>
  <c r="D14" i="2" s="1"/>
  <c r="R14" i="2" s="1"/>
  <c r="H13" i="1"/>
  <c r="D13" i="2" s="1" a="1"/>
  <c r="D13" i="2" s="1"/>
  <c r="R13" i="2" s="1"/>
  <c r="H12" i="1"/>
  <c r="D12" i="2" s="1" a="1"/>
  <c r="D12" i="2" s="1"/>
  <c r="R12" i="2" s="1"/>
  <c r="H11" i="1"/>
  <c r="D11" i="2" s="1" a="1"/>
  <c r="D11" i="2" s="1"/>
  <c r="R11" i="2" s="1"/>
  <c r="H10" i="1"/>
  <c r="D10" i="2" s="1" a="1"/>
  <c r="D10" i="2" s="1"/>
  <c r="R10" i="2" s="1"/>
  <c r="H9" i="1"/>
  <c r="D9" i="2" s="1" a="1"/>
  <c r="D9" i="2" s="1"/>
  <c r="R9" i="2" s="1"/>
  <c r="H8" i="1"/>
  <c r="D8" i="2" s="1" a="1"/>
  <c r="D8" i="2" s="1"/>
  <c r="R8" i="2" s="1"/>
  <c r="H7" i="1"/>
  <c r="D7" i="2" s="1" a="1"/>
  <c r="D7" i="2" s="1"/>
  <c r="R7" i="2" s="1"/>
  <c r="H6" i="1"/>
  <c r="D6" i="2" s="1" a="1"/>
  <c r="D6" i="2" s="1"/>
  <c r="R6" i="2" s="1"/>
  <c r="H5" i="1"/>
  <c r="D5" i="2" s="1" a="1"/>
  <c r="D5" i="2" s="1"/>
  <c r="R5" i="2" s="1"/>
  <c r="H4" i="1"/>
  <c r="D4" i="2" s="1" a="1"/>
  <c r="D4" i="2" s="1"/>
  <c r="R4" i="2" s="1"/>
  <c r="H3" i="1"/>
  <c r="D3" i="2" s="1" a="1"/>
  <c r="D3" i="2" s="1"/>
  <c r="R3" i="2" s="1"/>
  <c r="H2" i="1"/>
  <c r="D2" i="2" s="1" a="1"/>
  <c r="D2" i="2" s="1"/>
  <c r="R2" i="2" s="1"/>
  <c r="D135" i="1"/>
  <c r="C128" i="2" s="1" a="1"/>
  <c r="C128" i="2" s="1"/>
  <c r="D134" i="1"/>
  <c r="C127" i="2" s="1" a="1"/>
  <c r="C127" i="2" s="1"/>
  <c r="D133" i="1"/>
  <c r="C126" i="2" s="1" a="1"/>
  <c r="C126" i="2" s="1"/>
  <c r="D132" i="1"/>
  <c r="C125" i="2" s="1" a="1"/>
  <c r="C125" i="2" s="1"/>
  <c r="D131" i="1"/>
  <c r="C124" i="2" s="1" a="1"/>
  <c r="C124" i="2" s="1"/>
  <c r="D130" i="1"/>
  <c r="C123" i="2" s="1" a="1"/>
  <c r="C123" i="2" s="1"/>
  <c r="D129" i="1"/>
  <c r="C122" i="2" s="1" a="1"/>
  <c r="C122" i="2" s="1"/>
  <c r="D128" i="1"/>
  <c r="C121" i="2" s="1" a="1"/>
  <c r="C121" i="2" s="1"/>
  <c r="D127" i="1"/>
  <c r="C120" i="2" s="1" a="1"/>
  <c r="C120" i="2" s="1"/>
  <c r="D126" i="1"/>
  <c r="C119" i="2" s="1" a="1"/>
  <c r="C119" i="2" s="1"/>
  <c r="D125" i="1"/>
  <c r="C118" i="2" s="1" a="1"/>
  <c r="C118" i="2" s="1"/>
  <c r="D124" i="1"/>
  <c r="C117" i="2" s="1" a="1"/>
  <c r="C117" i="2" s="1"/>
  <c r="D123" i="1"/>
  <c r="C116" i="2" s="1" a="1"/>
  <c r="C116" i="2" s="1"/>
  <c r="D122" i="1"/>
  <c r="C115" i="2" s="1" a="1"/>
  <c r="C115" i="2" s="1"/>
  <c r="D121" i="1"/>
  <c r="C114" i="2" s="1" a="1"/>
  <c r="C114" i="2" s="1"/>
  <c r="D119" i="1"/>
  <c r="C113" i="2" s="1" a="1"/>
  <c r="C113" i="2" s="1"/>
  <c r="D120" i="1"/>
  <c r="C112" i="2" s="1" a="1"/>
  <c r="C112" i="2" s="1"/>
  <c r="D118" i="1"/>
  <c r="C111" i="2" s="1" a="1"/>
  <c r="C111" i="2" s="1"/>
  <c r="D117" i="1"/>
  <c r="C110" i="2" s="1" a="1"/>
  <c r="C110" i="2" s="1"/>
  <c r="D116" i="1"/>
  <c r="C109" i="2" s="1" a="1"/>
  <c r="C109" i="2" s="1"/>
  <c r="D115" i="1"/>
  <c r="C108" i="2" s="1" a="1"/>
  <c r="C108" i="2" s="1"/>
  <c r="D114" i="1"/>
  <c r="C107" i="2" s="1" a="1"/>
  <c r="C107" i="2" s="1"/>
  <c r="D113" i="1"/>
  <c r="C106" i="2" s="1" a="1"/>
  <c r="C106" i="2" s="1"/>
  <c r="D112" i="1"/>
  <c r="C105" i="2" s="1" a="1"/>
  <c r="C105" i="2" s="1"/>
  <c r="D111" i="1"/>
  <c r="C104" i="2" s="1" a="1"/>
  <c r="C104" i="2" s="1"/>
  <c r="D110" i="1"/>
  <c r="C103" i="2" s="1" a="1"/>
  <c r="C103" i="2" s="1"/>
  <c r="D109" i="1"/>
  <c r="C102" i="2" s="1" a="1"/>
  <c r="C102" i="2" s="1"/>
  <c r="D108" i="1"/>
  <c r="C101" i="2" s="1" a="1"/>
  <c r="C101" i="2" s="1"/>
  <c r="D107" i="1"/>
  <c r="C100" i="2" s="1" a="1"/>
  <c r="C100" i="2" s="1"/>
  <c r="D105" i="1"/>
  <c r="C99" i="2" s="1" a="1"/>
  <c r="C99" i="2" s="1"/>
  <c r="D106" i="1"/>
  <c r="C98" i="2" s="1" a="1"/>
  <c r="C98" i="2" s="1"/>
  <c r="D104" i="1"/>
  <c r="C97" i="2" s="1" a="1"/>
  <c r="C97" i="2" s="1"/>
  <c r="Q97" i="2" s="1"/>
  <c r="D103" i="1"/>
  <c r="C96" i="2" s="1" a="1"/>
  <c r="C96" i="2" s="1"/>
  <c r="D102" i="1"/>
  <c r="C95" i="2" s="1" a="1"/>
  <c r="C95" i="2" s="1"/>
  <c r="C94" i="2" a="1"/>
  <c r="C94" i="2" s="1"/>
  <c r="D93" i="1"/>
  <c r="C93" i="2" s="1" a="1"/>
  <c r="C93" i="2" s="1"/>
  <c r="D92" i="1"/>
  <c r="C92" i="2" s="1" a="1"/>
  <c r="C92" i="2" s="1"/>
  <c r="D91" i="1"/>
  <c r="C91" i="2" s="1" a="1"/>
  <c r="C91" i="2" s="1"/>
  <c r="D90" i="1"/>
  <c r="C90" i="2" s="1" a="1"/>
  <c r="C90" i="2" s="1"/>
  <c r="D89" i="1"/>
  <c r="C89" i="2" s="1" a="1"/>
  <c r="C89" i="2" s="1"/>
  <c r="D88" i="1"/>
  <c r="C88" i="2" s="1" a="1"/>
  <c r="C88" i="2" s="1"/>
  <c r="D87" i="1"/>
  <c r="C87" i="2" s="1" a="1"/>
  <c r="C87" i="2" s="1"/>
  <c r="D86" i="1"/>
  <c r="C86" i="2" s="1" a="1"/>
  <c r="C86" i="2" s="1"/>
  <c r="D85" i="1"/>
  <c r="C85" i="2" s="1" a="1"/>
  <c r="C85" i="2" s="1"/>
  <c r="D84" i="1"/>
  <c r="C84" i="2" s="1" a="1"/>
  <c r="C84" i="2" s="1"/>
  <c r="D83" i="1"/>
  <c r="C83" i="2" s="1" a="1"/>
  <c r="C83" i="2" s="1"/>
  <c r="D82" i="1"/>
  <c r="C82" i="2" s="1" a="1"/>
  <c r="C82" i="2" s="1"/>
  <c r="D81" i="1"/>
  <c r="C81" i="2" s="1" a="1"/>
  <c r="C81" i="2" s="1"/>
  <c r="D80" i="1"/>
  <c r="C80" i="2" s="1" a="1"/>
  <c r="C80" i="2" s="1"/>
  <c r="D79" i="1"/>
  <c r="C79" i="2" s="1" a="1"/>
  <c r="C79" i="2" s="1"/>
  <c r="D78" i="1"/>
  <c r="C78" i="2" s="1" a="1"/>
  <c r="C78" i="2" s="1"/>
  <c r="D77" i="1"/>
  <c r="C77" i="2" s="1" a="1"/>
  <c r="C77" i="2" s="1"/>
  <c r="D76" i="1"/>
  <c r="C76" i="2" s="1" a="1"/>
  <c r="C76" i="2" s="1"/>
  <c r="D75" i="1"/>
  <c r="C75" i="2" s="1" a="1"/>
  <c r="C75" i="2" s="1"/>
  <c r="D74" i="1"/>
  <c r="C74" i="2" s="1" a="1"/>
  <c r="C74" i="2" s="1"/>
  <c r="D73" i="1"/>
  <c r="C73" i="2" s="1" a="1"/>
  <c r="C73" i="2" s="1"/>
  <c r="D72" i="1"/>
  <c r="C72" i="2" s="1" a="1"/>
  <c r="C72" i="2" s="1"/>
  <c r="D71" i="1"/>
  <c r="C71" i="2" s="1" a="1"/>
  <c r="C71" i="2" s="1"/>
  <c r="D70" i="1"/>
  <c r="C70" i="2" s="1" a="1"/>
  <c r="C70" i="2" s="1"/>
  <c r="D69" i="1"/>
  <c r="C69" i="2" s="1" a="1"/>
  <c r="C69" i="2" s="1"/>
  <c r="D68" i="1"/>
  <c r="C68" i="2" s="1" a="1"/>
  <c r="C68" i="2" s="1"/>
  <c r="D67" i="1"/>
  <c r="C67" i="2" s="1" a="1"/>
  <c r="C67" i="2" s="1"/>
  <c r="D66" i="1"/>
  <c r="C66" i="2" s="1" a="1"/>
  <c r="C66" i="2" s="1"/>
  <c r="D65" i="1"/>
  <c r="C65" i="2" s="1" a="1"/>
  <c r="C65" i="2" s="1"/>
  <c r="D64" i="1"/>
  <c r="C64" i="2" s="1" a="1"/>
  <c r="C64" i="2" s="1"/>
  <c r="D63" i="1"/>
  <c r="C63" i="2" s="1" a="1"/>
  <c r="C63" i="2" s="1"/>
  <c r="D62" i="1"/>
  <c r="C62" i="2" s="1" a="1"/>
  <c r="C62" i="2" s="1"/>
  <c r="D61" i="1"/>
  <c r="C61" i="2" s="1" a="1"/>
  <c r="C61" i="2" s="1"/>
  <c r="D60" i="1"/>
  <c r="C60" i="2" s="1" a="1"/>
  <c r="C60" i="2" s="1"/>
  <c r="D59" i="1"/>
  <c r="C59" i="2" s="1" a="1"/>
  <c r="C59" i="2" s="1"/>
  <c r="D58" i="1"/>
  <c r="C58" i="2" s="1" a="1"/>
  <c r="C58" i="2" s="1"/>
  <c r="D57" i="1"/>
  <c r="C57" i="2" s="1" a="1"/>
  <c r="C57" i="2" s="1"/>
  <c r="D56" i="1"/>
  <c r="C56" i="2" s="1" a="1"/>
  <c r="C56" i="2" s="1"/>
  <c r="D55" i="1"/>
  <c r="C55" i="2" s="1" a="1"/>
  <c r="C55" i="2" s="1"/>
  <c r="D54" i="1"/>
  <c r="C54" i="2" s="1" a="1"/>
  <c r="C54" i="2" s="1"/>
  <c r="D53" i="1"/>
  <c r="C53" i="2" s="1" a="1"/>
  <c r="C53" i="2" s="1"/>
  <c r="D52" i="1"/>
  <c r="C52" i="2" s="1" a="1"/>
  <c r="C52" i="2" s="1"/>
  <c r="D51" i="1"/>
  <c r="C51" i="2" s="1" a="1"/>
  <c r="C51" i="2" s="1"/>
  <c r="D50" i="1"/>
  <c r="C50" i="2" s="1" a="1"/>
  <c r="C50" i="2" s="1"/>
  <c r="D49" i="1"/>
  <c r="C49" i="2" s="1" a="1"/>
  <c r="C49" i="2" s="1"/>
  <c r="D48" i="1"/>
  <c r="C48" i="2" s="1" a="1"/>
  <c r="C48" i="2" s="1"/>
  <c r="D47" i="1"/>
  <c r="C47" i="2" s="1" a="1"/>
  <c r="C47" i="2" s="1"/>
  <c r="D46" i="1"/>
  <c r="C46" i="2" s="1" a="1"/>
  <c r="C46" i="2" s="1"/>
  <c r="D45" i="1"/>
  <c r="C45" i="2" s="1" a="1"/>
  <c r="C45" i="2" s="1"/>
  <c r="D44" i="1"/>
  <c r="C44" i="2" s="1" a="1"/>
  <c r="C44" i="2" s="1"/>
  <c r="D43" i="1"/>
  <c r="C43" i="2" s="1" a="1"/>
  <c r="C43" i="2" s="1"/>
  <c r="D42" i="1"/>
  <c r="C42" i="2" s="1" a="1"/>
  <c r="C42" i="2" s="1"/>
  <c r="D41" i="1"/>
  <c r="C41" i="2" s="1" a="1"/>
  <c r="C41" i="2" s="1"/>
  <c r="D40" i="1"/>
  <c r="C40" i="2" s="1" a="1"/>
  <c r="C40" i="2" s="1"/>
  <c r="D39" i="1"/>
  <c r="C39" i="2" s="1" a="1"/>
  <c r="C39" i="2" s="1"/>
  <c r="D38" i="1"/>
  <c r="C38" i="2" s="1" a="1"/>
  <c r="C38" i="2" s="1"/>
  <c r="D37" i="1"/>
  <c r="C37" i="2" s="1" a="1"/>
  <c r="C37" i="2" s="1"/>
  <c r="D36" i="1"/>
  <c r="C36" i="2" s="1" a="1"/>
  <c r="C36" i="2" s="1"/>
  <c r="D35" i="1"/>
  <c r="C35" i="2" s="1" a="1"/>
  <c r="C35" i="2" s="1"/>
  <c r="D34" i="1"/>
  <c r="C34" i="2" s="1" a="1"/>
  <c r="C34" i="2" s="1"/>
  <c r="D33" i="1"/>
  <c r="C33" i="2" s="1" a="1"/>
  <c r="C33" i="2" s="1"/>
  <c r="D32" i="1"/>
  <c r="C32" i="2" s="1" a="1"/>
  <c r="C32" i="2" s="1"/>
  <c r="D31" i="1"/>
  <c r="C31" i="2" s="1" a="1"/>
  <c r="C31" i="2" s="1"/>
  <c r="D30" i="1"/>
  <c r="C30" i="2" s="1" a="1"/>
  <c r="C30" i="2" s="1"/>
  <c r="D29" i="1"/>
  <c r="C29" i="2" s="1" a="1"/>
  <c r="C29" i="2" s="1"/>
  <c r="D28" i="1"/>
  <c r="C28" i="2" s="1" a="1"/>
  <c r="C28" i="2" s="1"/>
  <c r="D27" i="1"/>
  <c r="C27" i="2" s="1" a="1"/>
  <c r="C27" i="2" s="1"/>
  <c r="D26" i="1"/>
  <c r="C26" i="2" s="1" a="1"/>
  <c r="C26" i="2" s="1"/>
  <c r="D25" i="1"/>
  <c r="C25" i="2" s="1" a="1"/>
  <c r="C25" i="2" s="1"/>
  <c r="D24" i="1"/>
  <c r="C24" i="2" s="1" a="1"/>
  <c r="C24" i="2" s="1"/>
  <c r="D23" i="1"/>
  <c r="C23" i="2" s="1" a="1"/>
  <c r="C23" i="2" s="1"/>
  <c r="D21" i="1"/>
  <c r="C22" i="2" s="1" a="1"/>
  <c r="C22" i="2" s="1"/>
  <c r="D20" i="1"/>
  <c r="C21" i="2" s="1" a="1"/>
  <c r="C21" i="2" s="1"/>
  <c r="D19" i="1"/>
  <c r="C20" i="2" s="1" a="1"/>
  <c r="C20" i="2" s="1"/>
  <c r="D22" i="1"/>
  <c r="C19" i="2" s="1" a="1"/>
  <c r="C19" i="2" s="1"/>
  <c r="D18" i="1"/>
  <c r="C18" i="2" s="1" a="1"/>
  <c r="C18" i="2" s="1"/>
  <c r="D17" i="1"/>
  <c r="C17" i="2" s="1" a="1"/>
  <c r="C17" i="2" s="1"/>
  <c r="D16" i="1"/>
  <c r="C16" i="2" s="1" a="1"/>
  <c r="C16" i="2" s="1"/>
  <c r="D14" i="1"/>
  <c r="C15" i="2" s="1" a="1"/>
  <c r="C15" i="2" s="1"/>
  <c r="D15" i="1"/>
  <c r="C14" i="2" s="1" a="1"/>
  <c r="C14" i="2" s="1"/>
  <c r="D13" i="1"/>
  <c r="C13" i="2" s="1" a="1"/>
  <c r="C13" i="2" s="1"/>
  <c r="D11" i="1"/>
  <c r="C11" i="2" s="1" a="1"/>
  <c r="C11" i="2" s="1"/>
  <c r="D10" i="1"/>
  <c r="C10" i="2" s="1" a="1"/>
  <c r="C10" i="2" s="1"/>
  <c r="D9" i="1"/>
  <c r="C9" i="2" s="1" a="1"/>
  <c r="C9" i="2" s="1"/>
  <c r="D8" i="1"/>
  <c r="C8" i="2" s="1" a="1"/>
  <c r="C8" i="2" s="1"/>
  <c r="D7" i="1"/>
  <c r="C7" i="2" s="1" a="1"/>
  <c r="C7" i="2" s="1"/>
  <c r="D6" i="1"/>
  <c r="C6" i="2" s="1" a="1"/>
  <c r="C6" i="2" s="1"/>
  <c r="D5" i="1"/>
  <c r="C5" i="2" s="1" a="1"/>
  <c r="C5" i="2" s="1"/>
  <c r="D4" i="1"/>
  <c r="C4" i="2" s="1" a="1"/>
  <c r="C4" i="2" s="1"/>
  <c r="D3" i="1"/>
  <c r="C3" i="2" s="1" a="1"/>
  <c r="C3" i="2" s="1"/>
  <c r="D2" i="1"/>
  <c r="C2" i="2" s="1" a="1"/>
  <c r="C2" i="2" s="1"/>
  <c r="J136" i="1"/>
  <c r="K136" i="1"/>
  <c r="N136" i="1"/>
  <c r="O136" i="1"/>
  <c r="R136" i="1"/>
  <c r="S136" i="1"/>
  <c r="V136" i="1"/>
  <c r="W136" i="1"/>
  <c r="Z136" i="1"/>
  <c r="AA136" i="1"/>
  <c r="AD136" i="1"/>
  <c r="AE136" i="1"/>
  <c r="AH136" i="1"/>
  <c r="AI136" i="1"/>
  <c r="AL136" i="1"/>
  <c r="AM136" i="1"/>
  <c r="AP136" i="1"/>
  <c r="AQ136" i="1"/>
  <c r="AT136" i="1"/>
  <c r="AU136" i="1"/>
  <c r="AX136" i="1"/>
  <c r="G136" i="1"/>
  <c r="F136" i="1"/>
  <c r="C136" i="1"/>
  <c r="BB135" i="1"/>
  <c r="BB134" i="1"/>
  <c r="BB133" i="1"/>
  <c r="BB132" i="1"/>
  <c r="BB130" i="1"/>
  <c r="BB129" i="1"/>
  <c r="BB128" i="1"/>
  <c r="BB127" i="1"/>
  <c r="BB126" i="1"/>
  <c r="BB125" i="1"/>
  <c r="BB124" i="1"/>
  <c r="BB122" i="1"/>
  <c r="BB121" i="1"/>
  <c r="BB119" i="1"/>
  <c r="BB120" i="1"/>
  <c r="BB118" i="1"/>
  <c r="BB117" i="1"/>
  <c r="BB116" i="1"/>
  <c r="BB115" i="1"/>
  <c r="BB114" i="1"/>
  <c r="BB113" i="1"/>
  <c r="BB112" i="1"/>
  <c r="BB111" i="1"/>
  <c r="BB110" i="1"/>
  <c r="BB109" i="1"/>
  <c r="BB108" i="1"/>
  <c r="BB105" i="1"/>
  <c r="BB106" i="1"/>
  <c r="BB104" i="1"/>
  <c r="BB103" i="1"/>
  <c r="BB97" i="1"/>
  <c r="BB93" i="1"/>
  <c r="BB92" i="1"/>
  <c r="BB91" i="1"/>
  <c r="BB90" i="1"/>
  <c r="BB89" i="1"/>
  <c r="BB88" i="1"/>
  <c r="BB87" i="1"/>
  <c r="BB86" i="1"/>
  <c r="BB85" i="1"/>
  <c r="BB84" i="1"/>
  <c r="BB83" i="1"/>
  <c r="BB82" i="1"/>
  <c r="BB81" i="1"/>
  <c r="BB80" i="1"/>
  <c r="BB79" i="1"/>
  <c r="BB78" i="1"/>
  <c r="BB77" i="1"/>
  <c r="BB76" i="1"/>
  <c r="BB75" i="1"/>
  <c r="BB74" i="1"/>
  <c r="BB73" i="1"/>
  <c r="BB72" i="1"/>
  <c r="BB71" i="1"/>
  <c r="BB70" i="1"/>
  <c r="BB69" i="1"/>
  <c r="BB68" i="1"/>
  <c r="BB67" i="1"/>
  <c r="BB66" i="1"/>
  <c r="BB65" i="1"/>
  <c r="BB64" i="1"/>
  <c r="BB63" i="1"/>
  <c r="BB62" i="1"/>
  <c r="BB61" i="1"/>
  <c r="BB60" i="1"/>
  <c r="BB59" i="1"/>
  <c r="BB58" i="1"/>
  <c r="BB57" i="1"/>
  <c r="BB56" i="1"/>
  <c r="BB55" i="1"/>
  <c r="BB53" i="1"/>
  <c r="BB52" i="1"/>
  <c r="BB51" i="1"/>
  <c r="BB50" i="1"/>
  <c r="BB49" i="1"/>
  <c r="BB48" i="1"/>
  <c r="BB47" i="1"/>
  <c r="BB46" i="1"/>
  <c r="BB45" i="1"/>
  <c r="BB44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1" i="1"/>
  <c r="BB20" i="1"/>
  <c r="BB19" i="1"/>
  <c r="BB22" i="1"/>
  <c r="BB18" i="1"/>
  <c r="BB17" i="1"/>
  <c r="BB16" i="1"/>
  <c r="BB14" i="1"/>
  <c r="BB15" i="1"/>
  <c r="BB13" i="1"/>
  <c r="BB12" i="1"/>
  <c r="BB11" i="1"/>
  <c r="BB10" i="1"/>
  <c r="BB9" i="1"/>
  <c r="BB8" i="1"/>
  <c r="BB7" i="1"/>
  <c r="BB6" i="1"/>
  <c r="BB5" i="1"/>
  <c r="BB4" i="1"/>
  <c r="BB3" i="1"/>
  <c r="BB2" i="1"/>
  <c r="F144" i="1" l="1"/>
  <c r="H144" i="1"/>
  <c r="H145" i="1"/>
  <c r="F145" i="1"/>
  <c r="H147" i="1"/>
  <c r="F147" i="1"/>
  <c r="H148" i="1"/>
  <c r="F148" i="1"/>
  <c r="F149" i="1"/>
  <c r="H149" i="1"/>
  <c r="F150" i="1"/>
  <c r="H150" i="1"/>
  <c r="F151" i="1"/>
  <c r="H151" i="1"/>
  <c r="H152" i="1"/>
  <c r="F152" i="1"/>
  <c r="Q76" i="2"/>
  <c r="AC76" i="2" s="1"/>
  <c r="O76" i="2"/>
  <c r="Q13" i="2"/>
  <c r="AC13" i="2" s="1"/>
  <c r="O13" i="2"/>
  <c r="Q81" i="2"/>
  <c r="AC81" i="2" s="1"/>
  <c r="O81" i="2"/>
  <c r="Q113" i="2"/>
  <c r="AC113" i="2" s="1"/>
  <c r="O113" i="2"/>
  <c r="Q34" i="2"/>
  <c r="AC34" i="2" s="1"/>
  <c r="O34" i="2"/>
  <c r="Q82" i="2"/>
  <c r="AC82" i="2" s="1"/>
  <c r="O82" i="2"/>
  <c r="Q2" i="2"/>
  <c r="AC2" i="2" s="1"/>
  <c r="O2" i="2"/>
  <c r="O19" i="2"/>
  <c r="Q19" i="2"/>
  <c r="AC19" i="2" s="1"/>
  <c r="O35" i="2"/>
  <c r="Q35" i="2"/>
  <c r="AC35" i="2" s="1"/>
  <c r="Q51" i="2"/>
  <c r="AC51" i="2" s="1"/>
  <c r="O51" i="2"/>
  <c r="Q67" i="2"/>
  <c r="AC67" i="2" s="1"/>
  <c r="O67" i="2"/>
  <c r="O83" i="2"/>
  <c r="Q83" i="2"/>
  <c r="AC83" i="2" s="1"/>
  <c r="O115" i="2"/>
  <c r="Q115" i="2"/>
  <c r="AC115" i="2" s="1"/>
  <c r="Q12" i="2"/>
  <c r="AC12" i="2" s="1"/>
  <c r="O12" i="2"/>
  <c r="Q11" i="2"/>
  <c r="AC11" i="2" s="1"/>
  <c r="O11" i="2"/>
  <c r="Q68" i="2"/>
  <c r="AC68" i="2" s="1"/>
  <c r="O68" i="2"/>
  <c r="O80" i="2"/>
  <c r="Q80" i="2"/>
  <c r="AC80" i="2" s="1"/>
  <c r="Q3" i="2"/>
  <c r="AC3" i="2" s="1"/>
  <c r="O3" i="2"/>
  <c r="Q21" i="2"/>
  <c r="AC21" i="2" s="1"/>
  <c r="O21" i="2"/>
  <c r="O53" i="2"/>
  <c r="Q53" i="2"/>
  <c r="AC53" i="2" s="1"/>
  <c r="Q60" i="2"/>
  <c r="AC60" i="2" s="1"/>
  <c r="O60" i="2"/>
  <c r="Q77" i="2"/>
  <c r="AC77" i="2" s="1"/>
  <c r="O77" i="2"/>
  <c r="O64" i="2"/>
  <c r="Q64" i="2"/>
  <c r="AC64" i="2" s="1"/>
  <c r="Q17" i="2"/>
  <c r="AC17" i="2" s="1"/>
  <c r="O17" i="2"/>
  <c r="Q84" i="2"/>
  <c r="AC84" i="2" s="1"/>
  <c r="O84" i="2"/>
  <c r="O69" i="2"/>
  <c r="Q69" i="2"/>
  <c r="AC69" i="2" s="1"/>
  <c r="O16" i="2"/>
  <c r="Q16" i="2"/>
  <c r="AC16" i="2" s="1"/>
  <c r="O33" i="2"/>
  <c r="Q33" i="2"/>
  <c r="AC33" i="2" s="1"/>
  <c r="Q36" i="2"/>
  <c r="AC36" i="2" s="1"/>
  <c r="O36" i="2"/>
  <c r="O85" i="2"/>
  <c r="Q85" i="2"/>
  <c r="AC85" i="2" s="1"/>
  <c r="O5" i="2"/>
  <c r="Q5" i="2"/>
  <c r="AC5" i="2" s="1"/>
  <c r="Q54" i="2"/>
  <c r="AC54" i="2" s="1"/>
  <c r="O54" i="2"/>
  <c r="O118" i="2"/>
  <c r="Q118" i="2"/>
  <c r="AC118" i="2" s="1"/>
  <c r="Q6" i="2"/>
  <c r="AC6" i="2" s="1"/>
  <c r="O6" i="2"/>
  <c r="Q23" i="2"/>
  <c r="AC23" i="2" s="1"/>
  <c r="O23" i="2"/>
  <c r="O39" i="2"/>
  <c r="Q39" i="2"/>
  <c r="AC39" i="2" s="1"/>
  <c r="Q55" i="2"/>
  <c r="AC55" i="2" s="1"/>
  <c r="O55" i="2"/>
  <c r="Q71" i="2"/>
  <c r="AC71" i="2" s="1"/>
  <c r="O71" i="2"/>
  <c r="Q87" i="2"/>
  <c r="AC87" i="2" s="1"/>
  <c r="O87" i="2"/>
  <c r="O103" i="2"/>
  <c r="Q103" i="2"/>
  <c r="AC103" i="2" s="1"/>
  <c r="O119" i="2"/>
  <c r="Q119" i="2"/>
  <c r="AC119" i="2" s="1"/>
  <c r="Q61" i="2"/>
  <c r="AC61" i="2" s="1"/>
  <c r="O61" i="2"/>
  <c r="O52" i="2"/>
  <c r="Q52" i="2"/>
  <c r="AC52" i="2" s="1"/>
  <c r="Q116" i="2"/>
  <c r="AC116" i="2" s="1"/>
  <c r="O116" i="2"/>
  <c r="O37" i="2"/>
  <c r="Q37" i="2"/>
  <c r="AC37" i="2" s="1"/>
  <c r="Q22" i="2"/>
  <c r="AC22" i="2" s="1"/>
  <c r="O22" i="2"/>
  <c r="O70" i="2"/>
  <c r="Q70" i="2"/>
  <c r="AC70" i="2" s="1"/>
  <c r="O7" i="2"/>
  <c r="Q7" i="2"/>
  <c r="AC7" i="2" s="1"/>
  <c r="Q40" i="2"/>
  <c r="AC40" i="2" s="1"/>
  <c r="O40" i="2"/>
  <c r="Q72" i="2"/>
  <c r="AC72" i="2" s="1"/>
  <c r="O72" i="2"/>
  <c r="O88" i="2"/>
  <c r="Q88" i="2"/>
  <c r="AC88" i="2" s="1"/>
  <c r="O120" i="2"/>
  <c r="Q120" i="2"/>
  <c r="AC120" i="2" s="1"/>
  <c r="O32" i="2"/>
  <c r="Q32" i="2"/>
  <c r="AC32" i="2" s="1"/>
  <c r="Q20" i="2"/>
  <c r="AC20" i="2" s="1"/>
  <c r="O20" i="2"/>
  <c r="Q4" i="2"/>
  <c r="AC4" i="2" s="1"/>
  <c r="O4" i="2"/>
  <c r="O117" i="2"/>
  <c r="Q117" i="2"/>
  <c r="AC117" i="2" s="1"/>
  <c r="Q38" i="2"/>
  <c r="AC38" i="2" s="1"/>
  <c r="O38" i="2"/>
  <c r="O86" i="2"/>
  <c r="Q86" i="2"/>
  <c r="AC86" i="2" s="1"/>
  <c r="Q24" i="2"/>
  <c r="AC24" i="2" s="1"/>
  <c r="O24" i="2"/>
  <c r="Q56" i="2"/>
  <c r="AC56" i="2" s="1"/>
  <c r="O56" i="2"/>
  <c r="Q8" i="2"/>
  <c r="AC8" i="2" s="1"/>
  <c r="O8" i="2"/>
  <c r="O25" i="2"/>
  <c r="Q25" i="2"/>
  <c r="AC25" i="2" s="1"/>
  <c r="O41" i="2"/>
  <c r="Q41" i="2"/>
  <c r="AC41" i="2" s="1"/>
  <c r="Q57" i="2"/>
  <c r="AC57" i="2" s="1"/>
  <c r="O57" i="2"/>
  <c r="O73" i="2"/>
  <c r="Q73" i="2"/>
  <c r="AC73" i="2" s="1"/>
  <c r="O89" i="2"/>
  <c r="Q89" i="2"/>
  <c r="AC89" i="2" s="1"/>
  <c r="Q121" i="2"/>
  <c r="AC121" i="2" s="1"/>
  <c r="O121" i="2"/>
  <c r="Q9" i="2"/>
  <c r="AC9" i="2" s="1"/>
  <c r="O9" i="2"/>
  <c r="Q26" i="2"/>
  <c r="AC26" i="2" s="1"/>
  <c r="O26" i="2"/>
  <c r="Q42" i="2"/>
  <c r="AC42" i="2" s="1"/>
  <c r="O42" i="2"/>
  <c r="Q58" i="2"/>
  <c r="AC58" i="2" s="1"/>
  <c r="O58" i="2"/>
  <c r="Q74" i="2"/>
  <c r="AC74" i="2" s="1"/>
  <c r="O74" i="2"/>
  <c r="Q90" i="2"/>
  <c r="AC90" i="2" s="1"/>
  <c r="O90" i="2"/>
  <c r="Q106" i="2"/>
  <c r="AC106" i="2" s="1"/>
  <c r="O106" i="2"/>
  <c r="Q122" i="2"/>
  <c r="AC122" i="2" s="1"/>
  <c r="O122" i="2"/>
  <c r="Q28" i="2"/>
  <c r="AC28" i="2" s="1"/>
  <c r="O28" i="2"/>
  <c r="Q109" i="2"/>
  <c r="AC109" i="2" s="1"/>
  <c r="O109" i="2"/>
  <c r="Q112" i="2"/>
  <c r="AC112" i="2" s="1"/>
  <c r="O112" i="2"/>
  <c r="Q10" i="2"/>
  <c r="AC10" i="2" s="1"/>
  <c r="O10" i="2"/>
  <c r="Q27" i="2"/>
  <c r="AC27" i="2" s="1"/>
  <c r="O27" i="2"/>
  <c r="Q43" i="2"/>
  <c r="AC43" i="2" s="1"/>
  <c r="O43" i="2"/>
  <c r="Q59" i="2"/>
  <c r="AC59" i="2" s="1"/>
  <c r="O59" i="2"/>
  <c r="Q75" i="2"/>
  <c r="AC75" i="2" s="1"/>
  <c r="O75" i="2"/>
  <c r="Q91" i="2"/>
  <c r="AC91" i="2" s="1"/>
  <c r="O91" i="2"/>
  <c r="Q107" i="2"/>
  <c r="AC107" i="2" s="1"/>
  <c r="O107" i="2"/>
  <c r="Q123" i="2"/>
  <c r="AC123" i="2" s="1"/>
  <c r="O123" i="2"/>
  <c r="O14" i="2"/>
  <c r="Q14" i="2"/>
  <c r="AC14" i="2" s="1"/>
  <c r="O30" i="2"/>
  <c r="Q30" i="2"/>
  <c r="AC30" i="2" s="1"/>
  <c r="Q46" i="2"/>
  <c r="AC46" i="2" s="1"/>
  <c r="O46" i="2"/>
  <c r="Q62" i="2"/>
  <c r="AC62" i="2" s="1"/>
  <c r="O62" i="2"/>
  <c r="Q78" i="2"/>
  <c r="AC78" i="2" s="1"/>
  <c r="O78" i="2"/>
  <c r="Q94" i="2"/>
  <c r="AC94" i="2" s="1"/>
  <c r="O94" i="2"/>
  <c r="Q110" i="2"/>
  <c r="AC110" i="2" s="1"/>
  <c r="O110" i="2"/>
  <c r="Q126" i="2"/>
  <c r="AC126" i="2" s="1"/>
  <c r="O126" i="2"/>
  <c r="Q108" i="2"/>
  <c r="AC108" i="2" s="1"/>
  <c r="O108" i="2"/>
  <c r="Q45" i="2"/>
  <c r="AC45" i="2" s="1"/>
  <c r="O45" i="2"/>
  <c r="Q15" i="2"/>
  <c r="AC15" i="2" s="1"/>
  <c r="O15" i="2"/>
  <c r="Q31" i="2"/>
  <c r="AC31" i="2" s="1"/>
  <c r="O31" i="2"/>
  <c r="Q47" i="2"/>
  <c r="AC47" i="2" s="1"/>
  <c r="O47" i="2"/>
  <c r="Q63" i="2"/>
  <c r="AC63" i="2" s="1"/>
  <c r="O63" i="2"/>
  <c r="Q79" i="2"/>
  <c r="AC79" i="2" s="1"/>
  <c r="O79" i="2"/>
  <c r="Q95" i="2"/>
  <c r="AC95" i="2" s="1"/>
  <c r="O95" i="2"/>
  <c r="Q111" i="2"/>
  <c r="AC111" i="2" s="1"/>
  <c r="O111" i="2"/>
  <c r="Q127" i="2"/>
  <c r="AC127" i="2" s="1"/>
  <c r="O127" i="2"/>
  <c r="Q124" i="2"/>
  <c r="AC124" i="2" s="1"/>
  <c r="O124" i="2"/>
  <c r="Q125" i="2"/>
  <c r="AC125" i="2" s="1"/>
  <c r="O125" i="2"/>
  <c r="Q128" i="2"/>
  <c r="AC128" i="2" s="1"/>
  <c r="O128" i="2"/>
  <c r="BA49" i="1"/>
  <c r="BA65" i="1"/>
  <c r="BA81" i="1"/>
  <c r="BA34" i="1"/>
  <c r="Q92" i="2"/>
  <c r="AC92" i="2" s="1"/>
  <c r="O92" i="2"/>
  <c r="Q93" i="2"/>
  <c r="AC93" i="2" s="1"/>
  <c r="O93" i="2"/>
  <c r="Q49" i="2"/>
  <c r="AC49" i="2" s="1"/>
  <c r="O49" i="2"/>
  <c r="BA79" i="1"/>
  <c r="BA118" i="1"/>
  <c r="BA16" i="1"/>
  <c r="BA120" i="1"/>
  <c r="BA135" i="1"/>
  <c r="Q44" i="2"/>
  <c r="AC44" i="2" s="1"/>
  <c r="O44" i="2"/>
  <c r="Q29" i="2"/>
  <c r="AC29" i="2" s="1"/>
  <c r="O29" i="2"/>
  <c r="Q48" i="2"/>
  <c r="AC48" i="2" s="1"/>
  <c r="O48" i="2"/>
  <c r="Q65" i="2"/>
  <c r="AC65" i="2" s="1"/>
  <c r="O65" i="2"/>
  <c r="Q18" i="2"/>
  <c r="AC18" i="2" s="1"/>
  <c r="O18" i="2"/>
  <c r="Q50" i="2"/>
  <c r="AC50" i="2" s="1"/>
  <c r="O50" i="2"/>
  <c r="Q66" i="2"/>
  <c r="AC66" i="2" s="1"/>
  <c r="O66" i="2"/>
  <c r="Q114" i="2"/>
  <c r="AC114" i="2" s="1"/>
  <c r="O114" i="2"/>
  <c r="O105" i="2"/>
  <c r="Q105" i="2"/>
  <c r="AC105" i="2" s="1"/>
  <c r="O104" i="2"/>
  <c r="Q104" i="2"/>
  <c r="AC104" i="2" s="1"/>
  <c r="Q102" i="2"/>
  <c r="AC102" i="2" s="1"/>
  <c r="O102" i="2"/>
  <c r="O101" i="2"/>
  <c r="Q101" i="2"/>
  <c r="AC101" i="2" s="1"/>
  <c r="O100" i="2"/>
  <c r="Q100" i="2"/>
  <c r="AC100" i="2" s="1"/>
  <c r="Q99" i="2"/>
  <c r="AC99" i="2" s="1"/>
  <c r="O99" i="2"/>
  <c r="Q98" i="2"/>
  <c r="AC98" i="2" s="1"/>
  <c r="O98" i="2"/>
  <c r="BA104" i="1"/>
  <c r="AB97" i="2"/>
  <c r="AC97" i="2" s="1"/>
  <c r="O97" i="2"/>
  <c r="Q96" i="2"/>
  <c r="AC96" i="2" s="1"/>
  <c r="O96" i="2"/>
  <c r="BA102" i="1"/>
  <c r="E155" i="1"/>
  <c r="BA133" i="1"/>
  <c r="AZ112" i="1"/>
  <c r="BA114" i="1"/>
  <c r="BA32" i="1"/>
  <c r="AZ34" i="1"/>
  <c r="AZ73" i="1"/>
  <c r="AZ65" i="1"/>
  <c r="BA63" i="1"/>
  <c r="AZ59" i="1"/>
  <c r="AZ49" i="1"/>
  <c r="BA47" i="1"/>
  <c r="BA56" i="1"/>
  <c r="BA72" i="1"/>
  <c r="BA88" i="1"/>
  <c r="BA126" i="1"/>
  <c r="BA57" i="1"/>
  <c r="BA73" i="1"/>
  <c r="BA89" i="1"/>
  <c r="BA112" i="1"/>
  <c r="BA127" i="1"/>
  <c r="BA129" i="1"/>
  <c r="BA60" i="1"/>
  <c r="BA76" i="1"/>
  <c r="BA92" i="1"/>
  <c r="BA115" i="1"/>
  <c r="BA130" i="1"/>
  <c r="BA28" i="1"/>
  <c r="BA29" i="1"/>
  <c r="AZ27" i="1"/>
  <c r="BA75" i="1"/>
  <c r="AZ58" i="1"/>
  <c r="AZ113" i="1"/>
  <c r="AZ60" i="1"/>
  <c r="AZ76" i="1"/>
  <c r="AZ92" i="1"/>
  <c r="AZ115" i="1"/>
  <c r="AZ130" i="1"/>
  <c r="BA62" i="1"/>
  <c r="BA78" i="1"/>
  <c r="BA97" i="1"/>
  <c r="BA117" i="1"/>
  <c r="BA132" i="1"/>
  <c r="BA31" i="1"/>
  <c r="AZ104" i="1"/>
  <c r="AZ135" i="1"/>
  <c r="AZ81" i="1"/>
  <c r="AZ120" i="1"/>
  <c r="BA91" i="1"/>
  <c r="BA59" i="1"/>
  <c r="AZ45" i="1"/>
  <c r="BA45" i="1"/>
  <c r="BA44" i="1"/>
  <c r="BA42" i="1"/>
  <c r="AZ42" i="1"/>
  <c r="BA41" i="1"/>
  <c r="AZ29" i="1"/>
  <c r="AZ28" i="1"/>
  <c r="BA26" i="1"/>
  <c r="BA33" i="1"/>
  <c r="BA48" i="1"/>
  <c r="BA64" i="1"/>
  <c r="BA80" i="1"/>
  <c r="BA103" i="1"/>
  <c r="BA134" i="1"/>
  <c r="AZ31" i="1"/>
  <c r="AZ62" i="1"/>
  <c r="AZ78" i="1"/>
  <c r="AZ117" i="1"/>
  <c r="AZ91" i="1"/>
  <c r="AZ129" i="1"/>
  <c r="AZ33" i="1"/>
  <c r="AZ64" i="1"/>
  <c r="AZ80" i="1"/>
  <c r="AZ103" i="1"/>
  <c r="AZ134" i="1"/>
  <c r="AZ48" i="1"/>
  <c r="AZ4" i="1"/>
  <c r="AZ32" i="1"/>
  <c r="AZ47" i="1"/>
  <c r="AZ63" i="1"/>
  <c r="AZ79" i="1"/>
  <c r="AZ102" i="1"/>
  <c r="AZ118" i="1"/>
  <c r="AZ133" i="1"/>
  <c r="BA11" i="1"/>
  <c r="BA13" i="1"/>
  <c r="AZ22" i="1"/>
  <c r="BA22" i="1"/>
  <c r="BA18" i="1"/>
  <c r="AZ18" i="1"/>
  <c r="BA17" i="1"/>
  <c r="AZ17" i="1"/>
  <c r="AZ16" i="1"/>
  <c r="AG136" i="1"/>
  <c r="BA14" i="1"/>
  <c r="AK136" i="1"/>
  <c r="T136" i="1"/>
  <c r="AZ15" i="1"/>
  <c r="BA15" i="1"/>
  <c r="AZ13" i="1"/>
  <c r="AZ12" i="1"/>
  <c r="AZ11" i="1"/>
  <c r="AS136" i="1"/>
  <c r="AW136" i="1"/>
  <c r="AY136" i="1"/>
  <c r="L155" i="1" s="1"/>
  <c r="Q136" i="1"/>
  <c r="AB136" i="1"/>
  <c r="AR136" i="1"/>
  <c r="AO136" i="1"/>
  <c r="X136" i="1"/>
  <c r="U136" i="1"/>
  <c r="M136" i="1"/>
  <c r="BA3" i="1"/>
  <c r="AZ3" i="1"/>
  <c r="BA12" i="1"/>
  <c r="BA27" i="1"/>
  <c r="BA43" i="1"/>
  <c r="BA58" i="1"/>
  <c r="BA74" i="1"/>
  <c r="BA90" i="1"/>
  <c r="BA113" i="1"/>
  <c r="BA128" i="1"/>
  <c r="BA25" i="1"/>
  <c r="BA111" i="1"/>
  <c r="BA4" i="1"/>
  <c r="BA30" i="1"/>
  <c r="BA46" i="1"/>
  <c r="BA61" i="1"/>
  <c r="BA77" i="1"/>
  <c r="BA93" i="1"/>
  <c r="BA116" i="1"/>
  <c r="BA131" i="1"/>
  <c r="H136" i="1"/>
  <c r="AZ43" i="1"/>
  <c r="AZ90" i="1"/>
  <c r="P136" i="1"/>
  <c r="AV136" i="1"/>
  <c r="Y136" i="1"/>
  <c r="BA2" i="1"/>
  <c r="AC136" i="1"/>
  <c r="AZ44" i="1"/>
  <c r="AZ75" i="1"/>
  <c r="BB136" i="1"/>
  <c r="BA55" i="1"/>
  <c r="BA109" i="1"/>
  <c r="BA10" i="1"/>
  <c r="BA71" i="1"/>
  <c r="BA122" i="1"/>
  <c r="BA8" i="1"/>
  <c r="BA38" i="1"/>
  <c r="BA53" i="1"/>
  <c r="BA69" i="1"/>
  <c r="BA123" i="1"/>
  <c r="BA9" i="1"/>
  <c r="BA23" i="1"/>
  <c r="BA54" i="1"/>
  <c r="BA24" i="1"/>
  <c r="BA40" i="1"/>
  <c r="BA87" i="1"/>
  <c r="BA110" i="1"/>
  <c r="BA125" i="1"/>
  <c r="BA37" i="1"/>
  <c r="BA85" i="1"/>
  <c r="BA108" i="1"/>
  <c r="BA82" i="1"/>
  <c r="BA39" i="1"/>
  <c r="BA70" i="1"/>
  <c r="BA86" i="1"/>
  <c r="BA124" i="1"/>
  <c r="BA6" i="1"/>
  <c r="BA20" i="1"/>
  <c r="BA36" i="1"/>
  <c r="BA83" i="1"/>
  <c r="BA7" i="1"/>
  <c r="BA21" i="1"/>
  <c r="BA68" i="1"/>
  <c r="BA5" i="1"/>
  <c r="BA19" i="1"/>
  <c r="BA35" i="1"/>
  <c r="BA50" i="1"/>
  <c r="BA66" i="1"/>
  <c r="BA106" i="1"/>
  <c r="BA119" i="1"/>
  <c r="BA51" i="1"/>
  <c r="BA67" i="1"/>
  <c r="BA105" i="1"/>
  <c r="BA121" i="1"/>
  <c r="BA52" i="1"/>
  <c r="BA84" i="1"/>
  <c r="BA107" i="1"/>
  <c r="I136" i="1"/>
  <c r="E136" i="1"/>
  <c r="AN136" i="1"/>
  <c r="AJ136" i="1"/>
  <c r="AF136" i="1"/>
  <c r="L136" i="1"/>
  <c r="AZ116" i="1"/>
  <c r="AZ128" i="1"/>
  <c r="AZ124" i="1"/>
  <c r="AZ14" i="1"/>
  <c r="AZ93" i="1"/>
  <c r="AZ97" i="1"/>
  <c r="AZ132" i="1"/>
  <c r="AZ26" i="1"/>
  <c r="AZ57" i="1"/>
  <c r="AZ127" i="1"/>
  <c r="AZ2" i="1"/>
  <c r="AZ56" i="1"/>
  <c r="AZ72" i="1"/>
  <c r="AZ88" i="1"/>
  <c r="AZ114" i="1"/>
  <c r="AZ74" i="1"/>
  <c r="AZ25" i="1"/>
  <c r="AZ41" i="1"/>
  <c r="AZ126" i="1"/>
  <c r="AZ89" i="1"/>
  <c r="AZ40" i="1"/>
  <c r="AZ111" i="1"/>
  <c r="AZ9" i="1"/>
  <c r="AZ23" i="1"/>
  <c r="AZ10" i="1"/>
  <c r="AZ24" i="1"/>
  <c r="AZ55" i="1"/>
  <c r="AZ35" i="1"/>
  <c r="AZ39" i="1"/>
  <c r="AZ54" i="1"/>
  <c r="AZ86" i="1"/>
  <c r="AZ109" i="1"/>
  <c r="AZ67" i="1"/>
  <c r="AZ71" i="1"/>
  <c r="AZ87" i="1"/>
  <c r="AZ110" i="1"/>
  <c r="AZ70" i="1"/>
  <c r="AZ30" i="1"/>
  <c r="AZ46" i="1"/>
  <c r="AZ61" i="1"/>
  <c r="AZ77" i="1"/>
  <c r="AZ131" i="1"/>
  <c r="AZ38" i="1"/>
  <c r="AZ53" i="1"/>
  <c r="AZ69" i="1"/>
  <c r="AZ85" i="1"/>
  <c r="AZ108" i="1"/>
  <c r="AZ123" i="1"/>
  <c r="AZ19" i="1"/>
  <c r="AZ50" i="1"/>
  <c r="AZ66" i="1"/>
  <c r="AZ82" i="1"/>
  <c r="AZ106" i="1"/>
  <c r="AZ6" i="1"/>
  <c r="AZ20" i="1"/>
  <c r="AZ36" i="1"/>
  <c r="AZ51" i="1"/>
  <c r="AZ83" i="1"/>
  <c r="AZ105" i="1"/>
  <c r="AZ8" i="1"/>
  <c r="AZ125" i="1"/>
  <c r="AZ5" i="1"/>
  <c r="AZ119" i="1"/>
  <c r="AZ121" i="1"/>
  <c r="AZ7" i="1"/>
  <c r="AZ21" i="1"/>
  <c r="AZ37" i="1"/>
  <c r="AZ52" i="1"/>
  <c r="AZ68" i="1"/>
  <c r="AZ84" i="1"/>
  <c r="AZ107" i="1"/>
  <c r="AZ122" i="1"/>
  <c r="D136" i="1"/>
  <c r="AC129" i="2" l="1"/>
  <c r="F155" i="1"/>
  <c r="H155" i="1"/>
  <c r="N155" i="1"/>
  <c r="C150" i="1"/>
  <c r="G150" i="1" s="1"/>
  <c r="I150" i="1" s="1"/>
  <c r="C149" i="1"/>
  <c r="G149" i="1" s="1"/>
  <c r="I149" i="1" s="1"/>
  <c r="C154" i="1"/>
  <c r="G154" i="1" s="1"/>
  <c r="I154" i="1" s="1"/>
  <c r="C151" i="1"/>
  <c r="G151" i="1" s="1"/>
  <c r="I151" i="1" s="1"/>
  <c r="C147" i="1"/>
  <c r="G147" i="1" s="1"/>
  <c r="I147" i="1" s="1"/>
  <c r="C145" i="1"/>
  <c r="G145" i="1" s="1"/>
  <c r="I145" i="1" s="1"/>
  <c r="C146" i="1"/>
  <c r="G146" i="1" s="1"/>
  <c r="I146" i="1" s="1"/>
  <c r="C153" i="1"/>
  <c r="G153" i="1" s="1"/>
  <c r="I153" i="1" s="1"/>
  <c r="C152" i="1"/>
  <c r="G152" i="1" s="1"/>
  <c r="I152" i="1" s="1"/>
  <c r="C148" i="1"/>
  <c r="G148" i="1" s="1"/>
  <c r="I148" i="1" s="1"/>
  <c r="C144" i="1"/>
  <c r="G144" i="1" s="1"/>
  <c r="I144" i="1" s="1"/>
  <c r="C143" i="1"/>
  <c r="G143" i="1" s="1"/>
  <c r="BA136" i="1"/>
  <c r="AZ136" i="1"/>
  <c r="I143" i="1" l="1"/>
  <c r="G155" i="1"/>
  <c r="I155" i="1" s="1"/>
  <c r="C15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<sst xmlns="http://schemas.openxmlformats.org/spreadsheetml/2006/main" count="678" uniqueCount="310">
  <si>
    <t>Location</t>
  </si>
  <si>
    <t>State</t>
  </si>
  <si>
    <t>Jan_Projected_Pay</t>
  </si>
  <si>
    <t>Jan_Royalty_8pct</t>
  </si>
  <si>
    <t>Jan_NAF_2pct</t>
  </si>
  <si>
    <t>Jan_Tech_Fee</t>
  </si>
  <si>
    <t>Feb_Projected_Pay</t>
  </si>
  <si>
    <t>Feb_Royalty_8pct</t>
  </si>
  <si>
    <t>Feb_NAF_2pct</t>
  </si>
  <si>
    <t>Feb_Tech_Fee</t>
  </si>
  <si>
    <t>Mar_Projected_Pay</t>
  </si>
  <si>
    <t>Mar_Royalty_8pct</t>
  </si>
  <si>
    <t>Mar_NAF_2pct</t>
  </si>
  <si>
    <t>Mar_Tech_Fee</t>
  </si>
  <si>
    <t>Apr_Projected_Pay</t>
  </si>
  <si>
    <t>Apr_Royalty_8pct</t>
  </si>
  <si>
    <t>Apr_NAF_2pct</t>
  </si>
  <si>
    <t>Apr_Tech_Fee</t>
  </si>
  <si>
    <t>May_Projected_Pay</t>
  </si>
  <si>
    <t>May_Royalty_8pct</t>
  </si>
  <si>
    <t>May_NAF_2pct</t>
  </si>
  <si>
    <t>May_Tech_Fee</t>
  </si>
  <si>
    <t>Jun_Projected_Pay</t>
  </si>
  <si>
    <t>Jun_Royalty_8pct</t>
  </si>
  <si>
    <t>Jun_NAF_2pct</t>
  </si>
  <si>
    <t>Jun_Tech_Fee</t>
  </si>
  <si>
    <t>Jul_Projected_Pay</t>
  </si>
  <si>
    <t>Jul_Royalty_8pct</t>
  </si>
  <si>
    <t>Jul_NAF_2pct</t>
  </si>
  <si>
    <t>Jul_Tech_Fee</t>
  </si>
  <si>
    <t>Aug_Projected_Pay</t>
  </si>
  <si>
    <t>Aug_Royalty_8pct</t>
  </si>
  <si>
    <t>Aug_NAF_2pct</t>
  </si>
  <si>
    <t>Aug_Tech_Fee</t>
  </si>
  <si>
    <t>Sep_Projected_Pay</t>
  </si>
  <si>
    <t>Sep_Royalty_8pct</t>
  </si>
  <si>
    <t>Sep_NAF_2pct</t>
  </si>
  <si>
    <t>Sep_Tech_Fee</t>
  </si>
  <si>
    <t>Oct_Projected_Pay</t>
  </si>
  <si>
    <t>Oct_Royalty_8pct</t>
  </si>
  <si>
    <t>Oct_NAF_2pct</t>
  </si>
  <si>
    <t>Oct_Tech_Fee</t>
  </si>
  <si>
    <t>Nov_Projected_Pay</t>
  </si>
  <si>
    <t>Nov_Royalty_8pct</t>
  </si>
  <si>
    <t>Nov_NAF_2pct</t>
  </si>
  <si>
    <t>Nov_Tech_Fee</t>
  </si>
  <si>
    <t>Dec_Projected_Pay</t>
  </si>
  <si>
    <t>Dec_Royalty_8pct</t>
  </si>
  <si>
    <t>Dec_NAF_2pct</t>
  </si>
  <si>
    <t>Dec_Tech_Fee</t>
  </si>
  <si>
    <t>Annual_Projected_Pay</t>
  </si>
  <si>
    <t>Annual_Royalty_8pct</t>
  </si>
  <si>
    <t>Annual_NAF_2pct</t>
  </si>
  <si>
    <t>Annual_Tech_Fee</t>
  </si>
  <si>
    <t>RS-AL-Birmingham</t>
  </si>
  <si>
    <t>AL</t>
  </si>
  <si>
    <t>RS-AR Fayetteville</t>
  </si>
  <si>
    <t>AR</t>
  </si>
  <si>
    <t>RS-AR-Central Arkansas</t>
  </si>
  <si>
    <t>RS-AZ-Phoenix</t>
  </si>
  <si>
    <t>AZ</t>
  </si>
  <si>
    <t>RS-CA Carlsbad-San Diego</t>
  </si>
  <si>
    <t>CA</t>
  </si>
  <si>
    <t>RS-CA Folsom-Citrus Heights</t>
  </si>
  <si>
    <t>RS-CA Hollywood-West Beverly Hi</t>
  </si>
  <si>
    <t>RS-CA-East Bay</t>
  </si>
  <si>
    <t>RS-CA-Irvine-Newport Beach</t>
  </si>
  <si>
    <t>RS-CA-Monterey Bay-Gilroy</t>
  </si>
  <si>
    <t>RS-CA-San Diego - La Jolla</t>
  </si>
  <si>
    <t>RS-CA-San Jose - Santa Clara</t>
  </si>
  <si>
    <t>RS-CA-Ventura</t>
  </si>
  <si>
    <t>RS-CO Lakewood-Summit County</t>
  </si>
  <si>
    <t>CO</t>
  </si>
  <si>
    <t>RS-CO North Denver-Boulder</t>
  </si>
  <si>
    <t>RS-DE Wilmington-Dover</t>
  </si>
  <si>
    <t>DE</t>
  </si>
  <si>
    <t>RS-FL Fort Myers &amp; Naples</t>
  </si>
  <si>
    <t>FL</t>
  </si>
  <si>
    <t>RS-FL Jacksonville Beach - St.</t>
  </si>
  <si>
    <t>RS-FL Tampa Bay</t>
  </si>
  <si>
    <t>RS-FL- Miami - Doral</t>
  </si>
  <si>
    <t>RS-FL- Orlando</t>
  </si>
  <si>
    <t>RS-FL- Sarasota - Bradenton</t>
  </si>
  <si>
    <t>RS-FL-Ft. Lauderdale</t>
  </si>
  <si>
    <t>RS-FL-Pensacola</t>
  </si>
  <si>
    <t>RS-FL-West Orlando</t>
  </si>
  <si>
    <t>RS-GA North Atlanta-Marietta</t>
  </si>
  <si>
    <t>GA</t>
  </si>
  <si>
    <t>RS-GA-Athens</t>
  </si>
  <si>
    <t>RS-GA-Columbus</t>
  </si>
  <si>
    <t>RS-GA-Kennesaw-Cartersville</t>
  </si>
  <si>
    <t>RS-ID-Boise - Meridian</t>
  </si>
  <si>
    <t>ID</t>
  </si>
  <si>
    <t>RS-IL Northern Chicago - Norths</t>
  </si>
  <si>
    <t>IL</t>
  </si>
  <si>
    <t>RS-IL-Naperville - Wheaton</t>
  </si>
  <si>
    <t>RS-IL-Orland Park-Plainfield</t>
  </si>
  <si>
    <t>RS-IL-Schaumburg-Rosemount</t>
  </si>
  <si>
    <t>RS-IN North Indianapolis-Carmel</t>
  </si>
  <si>
    <t>IN</t>
  </si>
  <si>
    <t>RS-KS Kansas City-Overland</t>
  </si>
  <si>
    <t>KS</t>
  </si>
  <si>
    <t>RS-KY Louisville</t>
  </si>
  <si>
    <t>KY</t>
  </si>
  <si>
    <t>RS-LA New Orleans-Slidell</t>
  </si>
  <si>
    <t>LA</t>
  </si>
  <si>
    <t>RS-MA-Needham</t>
  </si>
  <si>
    <t>MA</t>
  </si>
  <si>
    <t>RS-MD Montgomery County</t>
  </si>
  <si>
    <t>MD</t>
  </si>
  <si>
    <t>RS-MD West Baltimore-Ellicott</t>
  </si>
  <si>
    <t>RS-MO Kansas City</t>
  </si>
  <si>
    <t>MO</t>
  </si>
  <si>
    <t>RS-MO-St.Louis</t>
  </si>
  <si>
    <t>RS-MS Jackson-Tupelo</t>
  </si>
  <si>
    <t>MS</t>
  </si>
  <si>
    <t>RS-NC Durham-Raleigh</t>
  </si>
  <si>
    <t>NC</t>
  </si>
  <si>
    <t>RS-NC Northeast Charlotte</t>
  </si>
  <si>
    <t>RS-NC Raleigh-Durham</t>
  </si>
  <si>
    <t>RS-NC West Charlotte</t>
  </si>
  <si>
    <t>RS-NC Wilmington-Myrtle Beach</t>
  </si>
  <si>
    <t>RS-NE Omaha - Papillion</t>
  </si>
  <si>
    <t>NE</t>
  </si>
  <si>
    <t>RS-NEW-01</t>
  </si>
  <si>
    <t>RS-NEW-02</t>
  </si>
  <si>
    <t>RS-NEW-03</t>
  </si>
  <si>
    <t>RS-NEW-04</t>
  </si>
  <si>
    <t>TN</t>
  </si>
  <si>
    <t>RS-NEW-05</t>
  </si>
  <si>
    <t>OK</t>
  </si>
  <si>
    <t>RS-NEW-06</t>
  </si>
  <si>
    <t>PA</t>
  </si>
  <si>
    <t>RS-NEW-07</t>
  </si>
  <si>
    <t>RS-NEW-08</t>
  </si>
  <si>
    <t>VA</t>
  </si>
  <si>
    <t>RS-NEW-09</t>
  </si>
  <si>
    <t>RS-NEW-10</t>
  </si>
  <si>
    <t>RS-NEW-11</t>
  </si>
  <si>
    <t>NY</t>
  </si>
  <si>
    <t>RS-NEW-12</t>
  </si>
  <si>
    <t>RS-NEW-13</t>
  </si>
  <si>
    <t>NV</t>
  </si>
  <si>
    <t>RS-NEW-14</t>
  </si>
  <si>
    <t>RS-NEW-15</t>
  </si>
  <si>
    <t>RS-NEW-16</t>
  </si>
  <si>
    <t>RS-NEW-17</t>
  </si>
  <si>
    <t>RS-NEW-18</t>
  </si>
  <si>
    <t>RS-NEW-19</t>
  </si>
  <si>
    <t>RS-NEW-20</t>
  </si>
  <si>
    <t>OH</t>
  </si>
  <si>
    <t>RS-NEW-21</t>
  </si>
  <si>
    <t>RS-NEW-22</t>
  </si>
  <si>
    <t>RS-NEW-23</t>
  </si>
  <si>
    <t>RS-NEW-24</t>
  </si>
  <si>
    <t>RS-NEW-25</t>
  </si>
  <si>
    <t>RS-NEW-26</t>
  </si>
  <si>
    <t>RS-NEW-27</t>
  </si>
  <si>
    <t>RS-NEW-28</t>
  </si>
  <si>
    <t>RS-NEW-29</t>
  </si>
  <si>
    <t>RS-NEW-30</t>
  </si>
  <si>
    <t>RS-NEW-31</t>
  </si>
  <si>
    <t>RS-NEW-32</t>
  </si>
  <si>
    <t>WA</t>
  </si>
  <si>
    <t>RS-NEW-33</t>
  </si>
  <si>
    <t>RS-NEW-34</t>
  </si>
  <si>
    <t>RS-NEW-35</t>
  </si>
  <si>
    <t>RS-NEW-36</t>
  </si>
  <si>
    <t>RS-NEW-37</t>
  </si>
  <si>
    <t>RS-NEW-38</t>
  </si>
  <si>
    <t>RS-NEW-39</t>
  </si>
  <si>
    <t>RS-NEW-40</t>
  </si>
  <si>
    <t>RS-NEW-41</t>
  </si>
  <si>
    <t>RS-NEW-42</t>
  </si>
  <si>
    <t>RS-NEW-43</t>
  </si>
  <si>
    <t>RS-NEW-44</t>
  </si>
  <si>
    <t>RS-NEW-45</t>
  </si>
  <si>
    <t>RS-NV Las Vegas-Summerlin</t>
  </si>
  <si>
    <t>RS-NY Long Island - Port Washin</t>
  </si>
  <si>
    <t>RS-NY Rochester-Henrietta</t>
  </si>
  <si>
    <t>RS-NYCT Westchester-Samford</t>
  </si>
  <si>
    <t>RS-NYCT- Fairfield - Westchest</t>
  </si>
  <si>
    <t>RS-OH Cincinnati-Dayton</t>
  </si>
  <si>
    <t>RS-OH Cincinnati-Northeast Maso</t>
  </si>
  <si>
    <t>RS-OH Columbus</t>
  </si>
  <si>
    <t>RS-OK Tulsa</t>
  </si>
  <si>
    <t>RS-OK-OKC</t>
  </si>
  <si>
    <t>RS-OR - Beaverton</t>
  </si>
  <si>
    <t>OR</t>
  </si>
  <si>
    <t>RS-OR-Oregon Coast-Salem</t>
  </si>
  <si>
    <t>RS-PA Cranberry-McKnight</t>
  </si>
  <si>
    <t>RS-PA Lancaster-Harrisburg</t>
  </si>
  <si>
    <t>RS-PAOH Greater Pittsburgh-You</t>
  </si>
  <si>
    <t>RS-SC Charleston-Savannah</t>
  </si>
  <si>
    <t>SC</t>
  </si>
  <si>
    <t>RS-SC Columbia-Lexington</t>
  </si>
  <si>
    <t>RS-TN Corporate East Nashville</t>
  </si>
  <si>
    <t>RS-TN Nashville-Brentwood</t>
  </si>
  <si>
    <t>RS-TN- Knoxville</t>
  </si>
  <si>
    <t>RS-TN-Chattanooga</t>
  </si>
  <si>
    <t>RS-TX Austin-San Marcos</t>
  </si>
  <si>
    <t>TX</t>
  </si>
  <si>
    <t>RS-TX Austin-Westlake</t>
  </si>
  <si>
    <t>RS-TX Carrollton - Highland Par</t>
  </si>
  <si>
    <t>RS-TX Dallas-Irving</t>
  </si>
  <si>
    <t>RS-TX Fort Worth Metro</t>
  </si>
  <si>
    <t>RS-TX Katy - Cypress</t>
  </si>
  <si>
    <t>RS-TX Woodlands - North Houston</t>
  </si>
  <si>
    <t>RS-TX-Corpus Christi</t>
  </si>
  <si>
    <t>RS-TX-New Braunfels</t>
  </si>
  <si>
    <t>RS-TX-Plano-McKinney</t>
  </si>
  <si>
    <t>RS-UT-Salt Lake-Park City</t>
  </si>
  <si>
    <t>UT</t>
  </si>
  <si>
    <t>RS-VA Alexandria-Arlington</t>
  </si>
  <si>
    <t>RS-VA Richmond</t>
  </si>
  <si>
    <t>RS-WA-Shoreline-Bothell</t>
  </si>
  <si>
    <t>TBD</t>
  </si>
  <si>
    <t xml:space="preserve">Accured </t>
  </si>
  <si>
    <t xml:space="preserve">January total collections </t>
  </si>
  <si>
    <t xml:space="preserve">Febuary total collections </t>
  </si>
  <si>
    <t xml:space="preserve">March total collections </t>
  </si>
  <si>
    <t xml:space="preserve">April Total Collections </t>
  </si>
  <si>
    <t xml:space="preserve">May total collections </t>
  </si>
  <si>
    <t xml:space="preserve">June total collections </t>
  </si>
  <si>
    <t>July total collections</t>
  </si>
  <si>
    <t xml:space="preserve">August total collections </t>
  </si>
  <si>
    <t xml:space="preserve">September total collections </t>
  </si>
  <si>
    <t xml:space="preserve">October total collections </t>
  </si>
  <si>
    <t xml:space="preserve">November total collections </t>
  </si>
  <si>
    <t xml:space="preserve">December total collections </t>
  </si>
  <si>
    <t>Total R N T</t>
  </si>
  <si>
    <t>RS-CO Denver-Boulder</t>
  </si>
  <si>
    <t xml:space="preserve">Franchise Sales </t>
  </si>
  <si>
    <t>Column2</t>
  </si>
  <si>
    <t>Column5</t>
  </si>
  <si>
    <t xml:space="preserve">Territory </t>
  </si>
  <si>
    <t>2.4</t>
  </si>
  <si>
    <t xml:space="preserve">Total Franchisor intake </t>
  </si>
  <si>
    <t xml:space="preserve"> totals  </t>
  </si>
  <si>
    <t xml:space="preserve"> Jan_1pct </t>
  </si>
  <si>
    <t xml:space="preserve"> Feb_1pct </t>
  </si>
  <si>
    <t xml:space="preserve"> Mar_1pct </t>
  </si>
  <si>
    <t xml:space="preserve"> Apr_1pct </t>
  </si>
  <si>
    <t xml:space="preserve"> May_1pct </t>
  </si>
  <si>
    <t xml:space="preserve"> Jun_1pct </t>
  </si>
  <si>
    <t xml:space="preserve"> Jul_1pct </t>
  </si>
  <si>
    <t xml:space="preserve"> Aug_1pct </t>
  </si>
  <si>
    <t xml:space="preserve"> Sep_1pct </t>
  </si>
  <si>
    <t xml:space="preserve"> Oct_1pct </t>
  </si>
  <si>
    <t xml:space="preserve"> Nov_1pct </t>
  </si>
  <si>
    <t xml:space="preserve"> Dec_1pct </t>
  </si>
  <si>
    <t xml:space="preserve"> Annual_1pct_Credit </t>
  </si>
  <si>
    <t>Broker Fee</t>
  </si>
  <si>
    <t>Net Totaal</t>
  </si>
  <si>
    <t xml:space="preserve">Resale </t>
  </si>
  <si>
    <t xml:space="preserve">Location Key   </t>
  </si>
  <si>
    <t xml:space="preserve">Compliance </t>
  </si>
  <si>
    <t>Low ON Cash</t>
  </si>
  <si>
    <t xml:space="preserve">Fill Color </t>
  </si>
  <si>
    <t xml:space="preserve">Brand Ambassador Potential Cantidate </t>
  </si>
  <si>
    <t>RS-NV Las Vegas-Summerli</t>
  </si>
  <si>
    <t>RS-TNMS - Collierville - South</t>
  </si>
  <si>
    <t>RS-TX Woodlands - North H</t>
  </si>
  <si>
    <t>RS-FL-Melbourne - Palm Bay</t>
  </si>
  <si>
    <t>RS-FL- Sarasota - Bradent</t>
  </si>
  <si>
    <t>RS-Fl-Wesley Chapel-Lakel</t>
  </si>
  <si>
    <t>RS-IN North Indianapolis-Ca</t>
  </si>
  <si>
    <t>RS-IL Northern Chicago - N</t>
  </si>
  <si>
    <t>RS-TN Corporate East Nash</t>
  </si>
  <si>
    <t>RS-SCColumbia-Lexington</t>
  </si>
  <si>
    <t>RS-NC Wilmington-Myrtle B</t>
  </si>
  <si>
    <t>RS-NY Long Island - Nassau</t>
  </si>
  <si>
    <t>RS-SC Charleston-Savanna</t>
  </si>
  <si>
    <t>RS-CA-San Jose - Santa Cla</t>
  </si>
  <si>
    <t>RS-TX Carrollton - Highlan</t>
  </si>
  <si>
    <t>RS-CA Folsom-Citrus Heig</t>
  </si>
  <si>
    <t>RS-GA-Kennesaw-Cartersvi</t>
  </si>
  <si>
    <t xml:space="preserve">RS-FL Jacksonville Beach - St. </t>
  </si>
  <si>
    <t>RS-CA Hollywood-West Beverl</t>
  </si>
  <si>
    <t>RS-PA OH Greater Pittsburgh</t>
  </si>
  <si>
    <t>YTD TIPS  (11/17</t>
  </si>
  <si>
    <t>YTD Payments (11/17</t>
  </si>
  <si>
    <t xml:space="preserve">Location 2026 </t>
  </si>
  <si>
    <t>RS-FL Tampa-St Petersburg</t>
  </si>
  <si>
    <t>RS-TX - Plano-Dallas</t>
  </si>
  <si>
    <t xml:space="preserve">RS-OH Columbus </t>
  </si>
  <si>
    <t>RS-PA-OH Greater Pittsburgh-You</t>
  </si>
  <si>
    <t>YTD TIPS 2024</t>
  </si>
  <si>
    <t>YTD Payment 24</t>
  </si>
  <si>
    <t xml:space="preserve">Base </t>
  </si>
  <si>
    <t>TOTAL Payments 2023   (7 Zee)</t>
  </si>
  <si>
    <t>TOTAL Payments 2024   (57 Zee)</t>
  </si>
  <si>
    <t>TOTAL Payments 2025    (82 Zee)</t>
  </si>
  <si>
    <t>Projected Payments 2026 (127 Zee)</t>
  </si>
  <si>
    <t xml:space="preserve">Payment Year </t>
  </si>
  <si>
    <t>YTD Payment Total</t>
  </si>
  <si>
    <t>AVG Per Zee</t>
  </si>
  <si>
    <t xml:space="preserve">Monthly Breakdown </t>
  </si>
  <si>
    <t>Total</t>
  </si>
  <si>
    <t xml:space="preserve">Expanding </t>
  </si>
  <si>
    <t>Growth  Multiplier</t>
  </si>
  <si>
    <t>Total With BLP</t>
  </si>
  <si>
    <t>$59,900.00</t>
  </si>
  <si>
    <t>RS-NEW-46</t>
  </si>
  <si>
    <t>RS-NEW-47</t>
  </si>
  <si>
    <t>RS-NEW-48</t>
  </si>
  <si>
    <t>RS-NEW-49</t>
  </si>
  <si>
    <t>RS-NEW-50</t>
  </si>
  <si>
    <t>RS-NEW-51</t>
  </si>
  <si>
    <t>RS-NEW-52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</si>
</sst>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404040"/>
      <name val="Calibri"/>
      <family val="2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8" borderId="12" applyNumberFormat="0" applyFont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2" borderId="0" xfId="0" applyFill="1"/>
    <xf numFmtId="0" fontId="3" fillId="0" borderId="2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3" borderId="0" xfId="0" applyFill="1"/>
    <xf numFmtId="0" fontId="0" fillId="0" borderId="5" xfId="0" applyBorder="1"/>
    <xf numFmtId="0" fontId="4" fillId="0" borderId="0" xfId="0" applyFont="1"/>
    <xf numFmtId="0" fontId="4" fillId="0" borderId="4" xfId="0" applyFont="1" applyBorder="1"/>
    <xf numFmtId="0" fontId="4" fillId="0" borderId="5" xfId="0" applyFont="1" applyBorder="1"/>
    <xf numFmtId="44" fontId="5" fillId="0" borderId="6" xfId="1" applyFont="1" applyFill="1" applyBorder="1"/>
    <xf numFmtId="0" fontId="5" fillId="0" borderId="7" xfId="0" applyFont="1" applyBorder="1"/>
    <xf numFmtId="0" fontId="5" fillId="0" borderId="0" xfId="0" applyFont="1"/>
    <xf numFmtId="44" fontId="5" fillId="0" borderId="8" xfId="1" applyFont="1" applyFill="1" applyBorder="1"/>
    <xf numFmtId="0" fontId="5" fillId="0" borderId="9" xfId="0" applyFont="1" applyBorder="1"/>
    <xf numFmtId="0" fontId="4" fillId="0" borderId="10" xfId="0" applyFont="1" applyBorder="1"/>
    <xf numFmtId="44" fontId="5" fillId="0" borderId="11" xfId="1" applyFont="1" applyFill="1" applyBorder="1"/>
    <xf numFmtId="44" fontId="5" fillId="0" borderId="0" xfId="1" applyFont="1" applyFill="1"/>
    <xf numFmtId="0" fontId="5" fillId="0" borderId="4" xfId="0" applyFont="1" applyBorder="1"/>
    <xf numFmtId="0" fontId="5" fillId="0" borderId="5" xfId="0" applyFont="1" applyBorder="1"/>
    <xf numFmtId="44" fontId="5" fillId="0" borderId="5" xfId="1" applyFont="1" applyFill="1" applyBorder="1"/>
    <xf numFmtId="0" fontId="5" fillId="0" borderId="6" xfId="0" applyFont="1" applyBorder="1"/>
    <xf numFmtId="44" fontId="5" fillId="0" borderId="8" xfId="0" applyNumberFormat="1" applyFont="1" applyBorder="1"/>
    <xf numFmtId="0" fontId="5" fillId="0" borderId="10" xfId="0" applyFont="1" applyBorder="1"/>
    <xf numFmtId="44" fontId="5" fillId="0" borderId="10" xfId="1" applyFont="1" applyFill="1" applyBorder="1"/>
    <xf numFmtId="44" fontId="5" fillId="0" borderId="11" xfId="0" applyNumberFormat="1" applyFont="1" applyBorder="1"/>
    <xf numFmtId="8" fontId="0" fillId="0" borderId="0" xfId="0" applyNumberFormat="1"/>
    <xf numFmtId="0" fontId="0" fillId="0" borderId="3" xfId="0" applyBorder="1"/>
    <xf numFmtId="0" fontId="0" fillId="4" borderId="0" xfId="0" applyFill="1"/>
    <xf numFmtId="0" fontId="0" fillId="5" borderId="3" xfId="0" applyFill="1" applyBorder="1"/>
    <xf numFmtId="8" fontId="1" fillId="0" borderId="0" xfId="0" applyNumberFormat="1" applyFont="1"/>
    <xf numFmtId="164" fontId="1" fillId="0" borderId="1" xfId="0" applyNumberFormat="1" applyFont="1" applyBorder="1" applyAlignment="1">
      <alignment horizontal="center" vertical="top"/>
    </xf>
    <xf numFmtId="164" fontId="1" fillId="0" borderId="0" xfId="0" applyNumberFormat="1" applyFont="1"/>
    <xf numFmtId="164" fontId="7" fillId="0" borderId="0" xfId="0" applyNumberFormat="1" applyFont="1"/>
    <xf numFmtId="165" fontId="1" fillId="0" borderId="0" xfId="0" applyNumberFormat="1" applyFont="1"/>
    <xf numFmtId="165" fontId="7" fillId="0" borderId="0" xfId="0" applyNumberFormat="1" applyFont="1"/>
    <xf numFmtId="165" fontId="8" fillId="0" borderId="0" xfId="1" applyNumberFormat="1" applyFont="1" applyBorder="1"/>
    <xf numFmtId="0" fontId="1" fillId="0" borderId="0" xfId="0" applyFont="1" applyAlignment="1">
      <alignment horizontal="left" indent="9"/>
    </xf>
    <xf numFmtId="0" fontId="1" fillId="0" borderId="0" xfId="2" applyNumberFormat="1" applyFont="1" applyBorder="1"/>
    <xf numFmtId="0" fontId="1" fillId="0" borderId="5" xfId="0" applyFont="1" applyBorder="1"/>
    <xf numFmtId="0" fontId="0" fillId="6" borderId="0" xfId="0" applyFill="1"/>
    <xf numFmtId="0" fontId="0" fillId="7" borderId="0" xfId="0" applyFill="1"/>
    <xf numFmtId="164" fontId="5" fillId="0" borderId="0" xfId="0" applyNumberFormat="1" applyFont="1"/>
    <xf numFmtId="164" fontId="0" fillId="8" borderId="12" xfId="3" applyNumberFormat="1" applyFont="1"/>
    <xf numFmtId="164" fontId="9" fillId="8" borderId="12" xfId="3" applyNumberFormat="1" applyFont="1"/>
    <xf numFmtId="164" fontId="5" fillId="0" borderId="10" xfId="0" applyNumberFormat="1" applyFont="1" applyBorder="1"/>
    <xf numFmtId="0" fontId="0" fillId="0" borderId="0" xfId="0" applyFill="1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164" fontId="11" fillId="0" borderId="0" xfId="0" applyNumberFormat="1" applyFont="1"/>
    <xf numFmtId="164" fontId="5" fillId="0" borderId="0" xfId="1" applyNumberFormat="1" applyFont="1" applyFill="1" applyBorder="1"/>
    <xf numFmtId="164" fontId="5" fillId="0" borderId="0" xfId="1" applyNumberFormat="1" applyFont="1"/>
    <xf numFmtId="0" fontId="10" fillId="0" borderId="0" xfId="0" applyFont="1"/>
    <xf numFmtId="164" fontId="10" fillId="0" borderId="0" xfId="1" applyNumberFormat="1" applyFont="1" applyFill="1"/>
    <xf numFmtId="0" fontId="0" fillId="0" borderId="13" xfId="0" applyFont="1" applyFill="1" applyBorder="1"/>
    <xf numFmtId="0" fontId="3" fillId="0" borderId="14" xfId="0" applyFont="1" applyFill="1" applyBorder="1" applyAlignment="1">
      <alignment horizontal="center" vertical="top"/>
    </xf>
    <xf numFmtId="8" fontId="0" fillId="0" borderId="0" xfId="0" applyNumberFormat="1" applyFill="1" applyBorder="1"/>
    <xf numFmtId="165" fontId="0" fillId="0" borderId="0" xfId="0" applyNumberFormat="1"/>
  </cellXfs>
  <cellStyles count="4">
    <cellStyle name="Currency" xfId="1" builtinId="4"/>
    <cellStyle name="Normal" xfId="0" builtinId="0"/>
    <cellStyle name="Note" xfId="3" builtinId="10"/>
    <cellStyle name="Percent" xfId="2" builtinId="5"/>
  </cellStyles>
  <dxfs count="180"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4" formatCode="&quot;$&quot;#,##0.00"/>
    </dxf>
    <dxf>
      <numFmt numFmtId="12" formatCode="&quot;$&quot;#,##0.00_);[Red]\(&quot;$&quot;#,##0.00\)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2" formatCode="&quot;$&quot;#,##0.00_);[Red]\(&quot;$&quot;#,##0.00\)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2" formatCode="&quot;$&quot;#,##0.00_);[Red]\(&quot;$&quot;#,##0.00\)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2" formatCode="&quot;$&quot;#,##0.00_);[Red]\(&quot;$&quot;#,##0.00\)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2" formatCode="&quot;$&quot;#,##0.00_);[Red]\(&quot;$&quot;#,##0.00\)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2" formatCode="&quot;$&quot;#,##0.00_);[Red]\(&quot;$&quot;#,##0.00\)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2" formatCode="&quot;$&quot;#,##0.00_);[Red]\(&quot;$&quot;#,##0.00\)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2" formatCode="&quot;$&quot;#,##0.00_);[Red]\(&quot;$&quot;#,##0.00\)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2" formatCode="&quot;$&quot;#,##0.00_);[Red]\(&quot;$&quot;#,##0.00\)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2" formatCode="&quot;$&quot;#,##0.00_);[Red]\(&quot;$&quot;#,##0.00\)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2" formatCode="&quot;$&quot;#,##0.00_);[Red]\(&quot;$&quot;#,##0.00\)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2" formatCode="&quot;$&quot;#,##0.00_);[Red]\(&quot;$&quot;#,##0.00\)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2" formatCode="&quot;$&quot;#,##0.00_);[Red]\(&quot;$&quot;#,##0.00\)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2" formatCode="&quot;$&quot;#,##0.00_);[Red]\(&quot;$&quot;#,##0.00\)"/>
      <fill>
        <patternFill patternType="none">
          <bgColor auto="1"/>
        </patternFill>
      </fill>
    </dxf>
    <dxf>
      <numFmt numFmtId="12" formatCode="&quot;$&quot;#,##0.00_);[Red]\(&quot;$&quot;#,##0.00\)"/>
      <fill>
        <patternFill patternType="none">
          <fgColor indexed="64"/>
          <bgColor auto="1"/>
        </patternFill>
      </fill>
    </dxf>
    <dxf>
      <numFmt numFmtId="12" formatCode="&quot;$&quot;#,##0.00_);[Red]\(&quot;$&quot;#,##0.00\)"/>
      <fill>
        <patternFill patternType="none">
          <fgColor indexed="64"/>
          <bgColor auto="1"/>
        </patternFill>
      </fill>
    </dxf>
    <dxf>
      <numFmt numFmtId="12" formatCode="&quot;$&quot;#,##0.00_);[Red]\(&quot;$&quot;#,##0.00\)"/>
      <fill>
        <patternFill patternType="none">
          <fgColor indexed="64"/>
          <bgColor auto="1"/>
        </patternFill>
      </fill>
    </dxf>
    <dxf>
      <numFmt numFmtId="12" formatCode="&quot;$&quot;#,##0.00_);[Red]\(&quot;$&quot;#,##0.00\)"/>
      <fill>
        <patternFill patternType="none">
          <fgColor indexed="64"/>
          <bgColor auto="1"/>
        </patternFill>
      </fill>
    </dxf>
    <dxf>
      <numFmt numFmtId="12" formatCode="&quot;$&quot;#,##0.00_);[Red]\(&quot;$&quot;#,##0.00\)"/>
      <fill>
        <patternFill patternType="none">
          <fgColor indexed="64"/>
          <bgColor auto="1"/>
        </patternFill>
      </fill>
    </dxf>
    <dxf>
      <numFmt numFmtId="12" formatCode="&quot;$&quot;#,##0.00_);[Red]\(&quot;$&quot;#,##0.00\)"/>
      <fill>
        <patternFill patternType="none">
          <fgColor indexed="64"/>
          <bgColor auto="1"/>
        </patternFill>
      </fill>
    </dxf>
    <dxf>
      <numFmt numFmtId="12" formatCode="&quot;$&quot;#,##0.00_);[Red]\(&quot;$&quot;#,##0.00\)"/>
      <fill>
        <patternFill patternType="none">
          <fgColor indexed="64"/>
          <bgColor auto="1"/>
        </patternFill>
      </fill>
    </dxf>
    <dxf>
      <numFmt numFmtId="12" formatCode="&quot;$&quot;#,##0.00_);[Red]\(&quot;$&quot;#,##0.00\)"/>
      <fill>
        <patternFill patternType="none">
          <fgColor indexed="64"/>
          <bgColor auto="1"/>
        </patternFill>
      </fill>
    </dxf>
    <dxf>
      <numFmt numFmtId="12" formatCode="&quot;$&quot;#,##0.00_);[Red]\(&quot;$&quot;#,##0.00\)"/>
      <fill>
        <patternFill patternType="none">
          <fgColor indexed="64"/>
          <bgColor auto="1"/>
        </patternFill>
      </fill>
    </dxf>
    <dxf>
      <numFmt numFmtId="12" formatCode="&quot;$&quot;#,##0.00_);[Red]\(&quot;$&quot;#,##0.00\)"/>
      <fill>
        <patternFill patternType="none">
          <fgColor indexed="64"/>
          <bgColor auto="1"/>
        </patternFill>
      </fill>
    </dxf>
    <dxf>
      <numFmt numFmtId="12" formatCode="&quot;$&quot;#,##0.00_);[Red]\(&quot;$&quot;#,##0.00\)"/>
      <fill>
        <patternFill patternType="none">
          <fgColor indexed="64"/>
          <bgColor auto="1"/>
        </patternFill>
      </fill>
    </dxf>
    <dxf>
      <numFmt numFmtId="12" formatCode="&quot;$&quot;#,##0.00_);[Red]\(&quot;$&quot;#,##0.00\)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 style="thin">
          <color theme="4"/>
        </left>
        <right/>
        <top style="thin">
          <color theme="4"/>
        </top>
        <bottom style="thin">
          <color theme="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157</xdr:row>
      <xdr:rowOff>0</xdr:rowOff>
    </xdr:from>
    <xdr:to>
      <xdr:col>11</xdr:col>
      <xdr:colOff>304800</xdr:colOff>
      <xdr:row>158</xdr:row>
      <xdr:rowOff>121921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B4A28328-2F58-653E-2834-A80657C4F928}"/>
            </a:ext>
          </a:extLst>
        </xdr:cNvPr>
        <xdr:cNvSpPr>
          <a:spLocks noChangeAspect="1" noChangeArrowheads="1"/>
        </xdr:cNvSpPr>
      </xdr:nvSpPr>
      <xdr:spPr bwMode="auto">
        <a:xfrm>
          <a:off x="15179040" y="274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107577</xdr:colOff>
      <xdr:row>156</xdr:row>
      <xdr:rowOff>89648</xdr:rowOff>
    </xdr:from>
    <xdr:to>
      <xdr:col>12</xdr:col>
      <xdr:colOff>1712259</xdr:colOff>
      <xdr:row>163</xdr:row>
      <xdr:rowOff>150780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6FD2767-39CC-7F17-3E37-AAE34558F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08824" y="26840330"/>
          <a:ext cx="1604682" cy="131619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1B1B50-4CF4-420B-AC97-6C79E02F739F}" name="Table1" displayName="Table1" ref="A1:BB136" totalsRowCount="1" headerRowDxfId="179" headerRowBorderDxfId="178" tableBorderDxfId="177">
  <autoFilter ref="A1:BB135" xr:uid="{131B1B50-4CF4-420B-AC97-6C79E02F739F}"/>
  <sortState xmlns:xlrd2="http://schemas.microsoft.com/office/spreadsheetml/2017/richdata2" ref="A2:BB135">
    <sortCondition ref="A1:A135"/>
  </sortState>
  <tableColumns count="54">
    <tableColumn id="1" xr3:uid="{DD138246-073F-4700-9FE6-F1539613A87F}" name="Location"/>
    <tableColumn id="2" xr3:uid="{E9094FC8-AF50-4492-BD90-0C4E2D032AE0}" name="State"/>
    <tableColumn id="3" xr3:uid="{ADF80352-6453-47B7-B94F-EF4DA7066803}" name="Jan_Projected_Pay" totalsRowFunction="sum" dataDxfId="131" totalsRowDxfId="83" dataCellStyle="Note"/>
    <tableColumn id="4" xr3:uid="{F2400FD0-A7D5-4F1C-A9AD-E028631B124E}" name="Jan_Royalty_8pct" totalsRowFunction="sum" dataDxfId="130" totalsRowDxfId="82"/>
    <tableColumn id="5" xr3:uid="{228964E6-1120-4CEF-941B-F5ACC70926F1}" name="Jan_NAF_2pct" totalsRowFunction="sum" dataDxfId="129" totalsRowDxfId="81"/>
    <tableColumn id="6" xr3:uid="{E9A11C9B-6575-40F6-B32B-2C5560D1FA26}" name="Jan_Tech_Fee" totalsRowFunction="sum" dataDxfId="128" totalsRowDxfId="80"/>
    <tableColumn id="7" xr3:uid="{7A9AFE96-E902-4261-9030-AD1A3E170BCA}" name="Feb_Projected_Pay" totalsRowFunction="sum" dataDxfId="127" totalsRowDxfId="79" dataCellStyle="Note"/>
    <tableColumn id="8" xr3:uid="{CA263DA3-8D9B-4067-A245-994B5648ECAB}" name="Feb_Royalty_8pct" totalsRowFunction="sum" dataDxfId="126" totalsRowDxfId="78"/>
    <tableColumn id="9" xr3:uid="{E3FC9704-B581-404A-B1FD-5950C2A1CBB3}" name="Feb_NAF_2pct" totalsRowFunction="sum" dataDxfId="125" totalsRowDxfId="77"/>
    <tableColumn id="10" xr3:uid="{98789A18-B4DB-47A2-8968-B45504E2D9A7}" name="Feb_Tech_Fee" totalsRowFunction="custom" dataDxfId="124" totalsRowDxfId="76">
      <totalsRowFormula>SUBTOTAL(109,J2:J135)</totalsRowFormula>
    </tableColumn>
    <tableColumn id="11" xr3:uid="{FA96F091-E788-4D42-8691-0CBBF008B814}" name="Mar_Projected_Pay" totalsRowFunction="custom" dataDxfId="123" totalsRowDxfId="75" dataCellStyle="Note">
      <totalsRowFormula>SUBTOTAL(109,K2:K135)</totalsRowFormula>
    </tableColumn>
    <tableColumn id="12" xr3:uid="{313B7B06-714B-4320-9738-615A6FF9DAF0}" name="Mar_Royalty_8pct" totalsRowFunction="custom" dataDxfId="122" totalsRowDxfId="74">
      <totalsRowFormula>SUBTOTAL(109,L2:L135)</totalsRowFormula>
    </tableColumn>
    <tableColumn id="13" xr3:uid="{A201C863-97D7-4970-BDC4-64869DB9A0E7}" name="Mar_NAF_2pct" totalsRowFunction="custom" dataDxfId="121" totalsRowDxfId="73">
      <totalsRowFormula>SUBTOTAL(109,M2:M135)</totalsRowFormula>
    </tableColumn>
    <tableColumn id="14" xr3:uid="{4117D54C-C696-4511-8045-BB67937CCEF1}" name="Mar_Tech_Fee" totalsRowFunction="custom" dataDxfId="120" totalsRowDxfId="72">
      <totalsRowFormula>SUBTOTAL(109,N2:N135)</totalsRowFormula>
    </tableColumn>
    <tableColumn id="15" xr3:uid="{FF408263-6EEF-480F-A204-6CA9A86D78B9}" name="Apr_Projected_Pay" totalsRowFunction="custom" dataDxfId="119" totalsRowDxfId="71" dataCellStyle="Note">
      <totalsRowFormula>SUBTOTAL(109,O2:O135)</totalsRowFormula>
    </tableColumn>
    <tableColumn id="16" xr3:uid="{2AAF612B-2AEA-40BA-BCDD-B84D73E262C9}" name="Apr_Royalty_8pct" totalsRowFunction="custom" dataDxfId="118" totalsRowDxfId="70">
      <totalsRowFormula>SUBTOTAL(109,P2:P135)</totalsRowFormula>
    </tableColumn>
    <tableColumn id="17" xr3:uid="{BB1FFD5C-346A-49FC-9A2B-5EB9FAA361AC}" name="Apr_NAF_2pct" totalsRowFunction="custom" dataDxfId="117" totalsRowDxfId="69">
      <totalsRowFormula>SUBTOTAL(109,Q2:Q135)</totalsRowFormula>
    </tableColumn>
    <tableColumn id="18" xr3:uid="{2A174E13-5973-46D3-BCFB-F4407226D6E8}" name="Apr_Tech_Fee" totalsRowFunction="custom" dataDxfId="116" totalsRowDxfId="68">
      <totalsRowFormula>SUBTOTAL(109,R2:R135)</totalsRowFormula>
    </tableColumn>
    <tableColumn id="19" xr3:uid="{64870C23-A1EA-4900-80BA-5A526A39377B}" name="May_Projected_Pay" totalsRowFunction="custom" dataDxfId="115" totalsRowDxfId="67" dataCellStyle="Note">
      <totalsRowFormula>SUBTOTAL(109,S2:S135)</totalsRowFormula>
    </tableColumn>
    <tableColumn id="20" xr3:uid="{122B50AD-C9D3-4BE4-8D7C-763B792BE28C}" name="May_Royalty_8pct" totalsRowFunction="custom" dataDxfId="114" totalsRowDxfId="66">
      <totalsRowFormula>SUBTOTAL(109,T2:T135)</totalsRowFormula>
    </tableColumn>
    <tableColumn id="21" xr3:uid="{6F4DAF1C-0FF5-4B75-8B36-44FF6086ED19}" name="May_NAF_2pct" totalsRowFunction="custom" dataDxfId="113" totalsRowDxfId="65">
      <totalsRowFormula>SUBTOTAL(109,U2:U135)</totalsRowFormula>
    </tableColumn>
    <tableColumn id="22" xr3:uid="{AD4AFE10-5BCD-4C16-B9F5-A543F007E4E1}" name="May_Tech_Fee" totalsRowFunction="custom" dataDxfId="112" totalsRowDxfId="64">
      <totalsRowFormula>SUBTOTAL(109,V2:V135)</totalsRowFormula>
    </tableColumn>
    <tableColumn id="23" xr3:uid="{B0EB23FB-85F2-43D2-89DD-4D472A68F5BF}" name="Jun_Projected_Pay" totalsRowFunction="custom" dataDxfId="111" totalsRowDxfId="63" dataCellStyle="Note">
      <totalsRowFormula>SUBTOTAL(109,W2:W135)</totalsRowFormula>
    </tableColumn>
    <tableColumn id="24" xr3:uid="{258551D4-D054-4A0D-82F5-0E5F8AFF1678}" name="Jun_Royalty_8pct" totalsRowFunction="custom" dataDxfId="110" totalsRowDxfId="62">
      <totalsRowFormula>SUBTOTAL(109,X2:X135)</totalsRowFormula>
    </tableColumn>
    <tableColumn id="25" xr3:uid="{9B26436D-BA50-4118-980E-88738E4FE3C2}" name="Jun_NAF_2pct" totalsRowFunction="custom" dataDxfId="109" totalsRowDxfId="61">
      <totalsRowFormula>SUBTOTAL(109,Y2:Y135)</totalsRowFormula>
    </tableColumn>
    <tableColumn id="26" xr3:uid="{911F0E38-E6BB-4193-969F-AFB07FA75154}" name="Jun_Tech_Fee" totalsRowFunction="custom" dataDxfId="108" totalsRowDxfId="60">
      <totalsRowFormula>SUBTOTAL(109,Z2:Z135)</totalsRowFormula>
    </tableColumn>
    <tableColumn id="27" xr3:uid="{BB538467-8F16-41CE-A529-A529BED0854C}" name="Jul_Projected_Pay" totalsRowFunction="custom" dataDxfId="107" totalsRowDxfId="59" dataCellStyle="Note">
      <totalsRowFormula>SUBTOTAL(109,AA2:AA135)</totalsRowFormula>
    </tableColumn>
    <tableColumn id="28" xr3:uid="{AD448213-3F0F-41E3-AB27-4BE25CFD464C}" name="Jul_Royalty_8pct" totalsRowFunction="custom" dataDxfId="106" totalsRowDxfId="58">
      <totalsRowFormula>SUBTOTAL(109,AB2:AB135)</totalsRowFormula>
    </tableColumn>
    <tableColumn id="29" xr3:uid="{293E6F05-3A48-4096-8C0E-646956085D7E}" name="Jul_NAF_2pct" totalsRowFunction="custom" dataDxfId="105" totalsRowDxfId="57">
      <totalsRowFormula>SUBTOTAL(109,AC2:AC135)</totalsRowFormula>
    </tableColumn>
    <tableColumn id="30" xr3:uid="{BD7DDD85-C2C6-4191-8BA4-6A0242E0DDD7}" name="Jul_Tech_Fee" totalsRowFunction="custom" dataDxfId="104" totalsRowDxfId="56">
      <totalsRowFormula>SUBTOTAL(109,AD2:AD135)</totalsRowFormula>
    </tableColumn>
    <tableColumn id="31" xr3:uid="{0B7D4C97-9FF2-4857-AC01-820FD87A960F}" name="Aug_Projected_Pay" totalsRowFunction="custom" dataDxfId="103" totalsRowDxfId="55" dataCellStyle="Note">
      <totalsRowFormula>SUBTOTAL(109,AE2:AE135)</totalsRowFormula>
    </tableColumn>
    <tableColumn id="32" xr3:uid="{0E8E1360-B37D-4DEC-91D1-29F469B02A32}" name="Aug_Royalty_8pct" totalsRowFunction="custom" dataDxfId="102" totalsRowDxfId="54">
      <totalsRowFormula>SUBTOTAL(109,AF2:AF135)</totalsRowFormula>
    </tableColumn>
    <tableColumn id="33" xr3:uid="{B6A1B48C-0E55-489C-9EAA-10FAF9FA3672}" name="Aug_NAF_2pct" totalsRowFunction="custom" dataDxfId="101" totalsRowDxfId="53">
      <totalsRowFormula>SUBTOTAL(109,AG2:AG135)</totalsRowFormula>
    </tableColumn>
    <tableColumn id="34" xr3:uid="{723EE11F-1C3E-46F2-8E0D-DDF0D6E029D9}" name="Aug_Tech_Fee" totalsRowFunction="custom" dataDxfId="100" totalsRowDxfId="52">
      <totalsRowFormula>SUBTOTAL(109,AH2:AH135)</totalsRowFormula>
    </tableColumn>
    <tableColumn id="35" xr3:uid="{B4DEAEBD-D6CB-4A0D-8CBE-A4CB6F03320F}" name="Sep_Projected_Pay" totalsRowFunction="custom" dataDxfId="99" totalsRowDxfId="51" dataCellStyle="Note">
      <totalsRowFormula>SUBTOTAL(109,AI2:AI135)</totalsRowFormula>
    </tableColumn>
    <tableColumn id="36" xr3:uid="{6C094FDC-7A9C-4B74-B160-04C71613F488}" name="Sep_Royalty_8pct" totalsRowFunction="custom" dataDxfId="98" totalsRowDxfId="50">
      <totalsRowFormula>SUBTOTAL(109,AJ2:AJ135)</totalsRowFormula>
    </tableColumn>
    <tableColumn id="37" xr3:uid="{FF50BAA3-3F5E-489C-8200-DA1007CB6D7C}" name="Sep_NAF_2pct" totalsRowFunction="custom" dataDxfId="97" totalsRowDxfId="49">
      <totalsRowFormula>SUBTOTAL(109,AK2:AK135)</totalsRowFormula>
    </tableColumn>
    <tableColumn id="38" xr3:uid="{F9879145-BFF2-47D9-BCFB-A0E387C9F95B}" name="Sep_Tech_Fee" totalsRowFunction="custom" dataDxfId="96" totalsRowDxfId="48">
      <totalsRowFormula>SUBTOTAL(109,AL2:AL135)</totalsRowFormula>
    </tableColumn>
    <tableColumn id="39" xr3:uid="{04C7FE85-AFF3-4905-84C4-A5034FBBB4B4}" name="Oct_Projected_Pay" totalsRowFunction="custom" dataDxfId="95" totalsRowDxfId="47" dataCellStyle="Note">
      <totalsRowFormula>SUBTOTAL(109,AM2:AM135)</totalsRowFormula>
    </tableColumn>
    <tableColumn id="40" xr3:uid="{BA08883C-5408-42DF-AD6B-BCEA78A1D877}" name="Oct_Royalty_8pct" totalsRowFunction="custom" dataDxfId="94" totalsRowDxfId="46">
      <totalsRowFormula>SUBTOTAL(109,AN2:AN135)</totalsRowFormula>
    </tableColumn>
    <tableColumn id="41" xr3:uid="{1377B9F4-BBE6-4D70-9C9A-4E79425EE9CD}" name="Oct_NAF_2pct" totalsRowFunction="custom" dataDxfId="93" totalsRowDxfId="45">
      <totalsRowFormula>SUBTOTAL(109,AO2:AO135)</totalsRowFormula>
    </tableColumn>
    <tableColumn id="42" xr3:uid="{D6AA6D4C-6637-47C1-96D3-F636FC7EB58E}" name="Oct_Tech_Fee" totalsRowFunction="custom" dataDxfId="92" totalsRowDxfId="44">
      <totalsRowFormula>SUBTOTAL(109,AP2:AP135)</totalsRowFormula>
    </tableColumn>
    <tableColumn id="43" xr3:uid="{678A5F37-43A5-4456-8675-CA992939FFA8}" name="Nov_Projected_Pay" totalsRowFunction="custom" dataDxfId="91" totalsRowDxfId="43" dataCellStyle="Note">
      <totalsRowFormula>SUBTOTAL(109,AQ2:AQ135)</totalsRowFormula>
    </tableColumn>
    <tableColumn id="44" xr3:uid="{543D3264-F940-4116-B721-B56DB32412CC}" name="Nov_Royalty_8pct" totalsRowFunction="custom" dataDxfId="90" totalsRowDxfId="42">
      <totalsRowFormula>SUBTOTAL(109,AR2:AR135)</totalsRowFormula>
    </tableColumn>
    <tableColumn id="45" xr3:uid="{E71801AD-0AF5-43DF-8B1D-8895C7812B79}" name="Nov_NAF_2pct" totalsRowFunction="custom" dataDxfId="89" totalsRowDxfId="41">
      <totalsRowFormula>SUBTOTAL(109,AS2:AS135)</totalsRowFormula>
    </tableColumn>
    <tableColumn id="46" xr3:uid="{AD47F5A4-86B7-4E50-B87A-3E470D0AE6CD}" name="Nov_Tech_Fee" totalsRowFunction="custom" dataDxfId="88" totalsRowDxfId="40">
      <totalsRowFormula>SUBTOTAL(109,AT2:AT135)</totalsRowFormula>
    </tableColumn>
    <tableColumn id="47" xr3:uid="{AB8616EB-6596-48AA-94F4-93B9C2DC4220}" name="Dec_Projected_Pay" totalsRowFunction="custom" dataDxfId="87" totalsRowDxfId="39" dataCellStyle="Note">
      <totalsRowFormula>SUBTOTAL(109,AU2:AU135)</totalsRowFormula>
    </tableColumn>
    <tableColumn id="48" xr3:uid="{4AE3F7B5-B6F3-42A2-AC60-BD76B197863E}" name="Dec_Royalty_8pct" totalsRowFunction="custom" dataDxfId="86" totalsRowDxfId="38">
      <totalsRowFormula>SUBTOTAL(109,AV2:AV135)</totalsRowFormula>
    </tableColumn>
    <tableColumn id="49" xr3:uid="{258352CB-A5D9-46D2-BA1F-C8446F87247F}" name="Dec_NAF_2pct" totalsRowFunction="custom" dataDxfId="85" totalsRowDxfId="37">
      <totalsRowFormula>SUBTOTAL(109,AW2:AW135)</totalsRowFormula>
    </tableColumn>
    <tableColumn id="50" xr3:uid="{7FA4A38F-B891-4466-9C1F-6D6AEFDC11E0}" name="Dec_Tech_Fee" totalsRowFunction="custom" dataDxfId="84" totalsRowDxfId="36">
      <totalsRowFormula>SUBTOTAL(109,AX2:AX135)</totalsRowFormula>
    </tableColumn>
    <tableColumn id="51" xr3:uid="{1EF62D71-449A-409B-A52C-F1B41DC1EC8A}" name="Annual_Projected_Pay" totalsRowFunction="custom" dataDxfId="3" totalsRowDxfId="35">
      <calculatedColumnFormula>C2+G2+K2+O2+S2+W2+AA2+AE2+AI2+AM2+AQ2+AU2</calculatedColumnFormula>
      <totalsRowFormula>SUBTOTAL(109,AY2:AY135)</totalsRowFormula>
    </tableColumn>
    <tableColumn id="52" xr3:uid="{1257DCB7-1FE3-453C-A429-AD9461515117}" name="Annual_Royalty_8pct" totalsRowFunction="custom" dataDxfId="2" totalsRowDxfId="34">
      <calculatedColumnFormula>D2+H2+L2+P2+T2+X2+AB2+AF2+AJ2+AN2+AR2+AV2</calculatedColumnFormula>
      <totalsRowFormula>SUBTOTAL(109,AZ2:AZ135)</totalsRowFormula>
    </tableColumn>
    <tableColumn id="53" xr3:uid="{922DAD89-C68A-4BD2-947C-676770D635FC}" name="Annual_NAF_2pct" totalsRowFunction="custom" dataDxfId="1" totalsRowDxfId="33">
      <calculatedColumnFormula>E2+I2+M2+Q2+U2+Y2+AC2+AG2+AK2+AO2+AS2+AW2</calculatedColumnFormula>
      <totalsRowFormula>SUBTOTAL(109,BA2:BA135)</totalsRowFormula>
    </tableColumn>
    <tableColumn id="54" xr3:uid="{BC18C632-7405-4D94-86E1-95DFAAFCEBDA}" name="Annual_Tech_Fee" totalsRowFunction="custom" dataDxfId="0" totalsRowDxfId="32">
      <calculatedColumnFormula>F2+J2+N2+R2+V2+Z2+AD2+AH2+AL2+AP2+AT2+AX2</calculatedColumnFormula>
      <totalsRowFormula>SUBTOTAL(109,BB2:BB135)</totalsRow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533442-1441-41E6-868D-51EFBAF785D1}" name="Table2" displayName="Table2" ref="A140:I155" totalsRowShown="0" headerRowDxfId="132" dataDxfId="176">
  <autoFilter ref="A140:I155" xr:uid="{55533442-1441-41E6-868D-51EFBAF785D1}"/>
  <tableColumns count="9">
    <tableColumn id="1" xr3:uid="{9BA43B0E-70B7-462A-BF09-E631F04EAAB5}" name="Monthly Breakdown " dataDxfId="175"/>
    <tableColumn id="2" xr3:uid="{FE414129-5143-4FE1-A152-C8568683C69E}" name="Column2" dataDxfId="174"/>
    <tableColumn id="3" xr3:uid="{AF03D7A4-58A0-407B-A8E1-A985EF323C12}" name="Total" dataDxfId="173" dataCellStyle="Currency"/>
    <tableColumn id="4" xr3:uid="{A6F4CFAC-F134-4082-B469-3105171356E5}" name="Franchise Sales " dataDxfId="172"/>
    <tableColumn id="5" xr3:uid="{E13D6396-F87B-4EC8-A86F-2929061BF2CD}" name="2.4" dataDxfId="171"/>
    <tableColumn id="6" xr3:uid="{54538A44-95B2-4408-BE93-23664C8FC3C1}" name="$59,900.00" dataDxfId="170" dataCellStyle="Currency"/>
    <tableColumn id="7" xr3:uid="{1E1D5978-AB59-4E4E-82B3-0DEFF8AE7D8F}" name="Total Franchisor intake " dataDxfId="169"/>
    <tableColumn id="9" xr3:uid="{604EDD80-6B46-42DC-840F-76DC0FB83A01}" name="Broker Fee" dataDxfId="168"/>
    <tableColumn id="10" xr3:uid="{CBF84232-CDEF-477E-82A0-AA533E56E1D0}" name="Net Totaal" dataDxfId="167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5A466A-E209-4481-8E4D-365A7A9F2099}" name="Table5" displayName="Table5" ref="K149:O155" totalsRowShown="0" tableBorderDxfId="166">
  <autoFilter ref="K149:O155" xr:uid="{A45A466A-E209-4481-8E4D-365A7A9F2099}"/>
  <tableColumns count="5">
    <tableColumn id="1" xr3:uid="{DF6A48FE-C722-4600-A9B4-0413E0115BAF}" name="Payment Year "/>
    <tableColumn id="2" xr3:uid="{CD8BFD8A-27F6-4117-8302-8365EE6DA32A}" name="YTD Payment Total"/>
    <tableColumn id="3" xr3:uid="{671E43FC-537A-4DE7-B6CB-CEB337D4C0CA}" name="Growth  Multiplier"/>
    <tableColumn id="4" xr3:uid="{53078601-7F6E-4A10-AB5D-A6EBF93D6605}" name="AVG Per Zee"/>
    <tableColumn id="5" xr3:uid="{9D6D404B-FE4C-49C5-A016-0B728D322F3E}" name="Column5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AE3701-1F98-4BD9-B65C-F45BBBBDE7A1}" name="Table6" displayName="Table6" ref="K141:L145" totalsRowShown="0" headerRowDxfId="135" tableBorderDxfId="134">
  <autoFilter ref="K141:L145" xr:uid="{BAAE3701-1F98-4BD9-B65C-F45BBBBDE7A1}"/>
  <tableColumns count="2">
    <tableColumn id="1" xr3:uid="{BCE25BED-62BF-40CB-8DAD-A7E89724664E}" name="Location Key   " dataDxfId="133"/>
    <tableColumn id="2" xr3:uid="{62A72567-20BB-447E-A649-74F731270A09}" name="Fill Color "/>
  </tableColumns>
  <tableStyleInfo name="TableStyleDark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0335CB-7724-4A68-BD03-9CD50C404DCB}" name="Table3" displayName="Table3" ref="Q1:AC129" totalsRowCount="1">
  <autoFilter ref="Q1:AC128" xr:uid="{FE0335CB-7724-4A68-BD03-9CD50C404DCB}"/>
  <tableColumns count="13">
    <tableColumn id="1" xr3:uid="{08D34D8C-B73E-44E4-840E-0AD61F296B5E}" name=" Jan_1pct " dataDxfId="165" totalsRowDxfId="31">
      <calculatedColumnFormula>C2*0.01</calculatedColumnFormula>
    </tableColumn>
    <tableColumn id="2" xr3:uid="{1F6E7614-409F-420E-93E5-2ECE5BB1D75E}" name=" Feb_1pct " dataDxfId="164" totalsRowDxfId="30">
      <calculatedColumnFormula>D2*0.01</calculatedColumnFormula>
    </tableColumn>
    <tableColumn id="3" xr3:uid="{90C6CBDB-A341-4303-BD72-F7F3B8E41B9A}" name=" Mar_1pct " dataDxfId="163" totalsRowDxfId="29">
      <calculatedColumnFormula>E2*0.01</calculatedColumnFormula>
    </tableColumn>
    <tableColumn id="4" xr3:uid="{E408FF7A-0AB3-4C5C-9772-D1BE1B254DD0}" name=" Apr_1pct " dataDxfId="162" totalsRowDxfId="28">
      <calculatedColumnFormula>F2*0.01</calculatedColumnFormula>
    </tableColumn>
    <tableColumn id="5" xr3:uid="{9D2963EE-C564-46AC-840C-6A4BAA89F322}" name=" May_1pct " dataDxfId="161" totalsRowDxfId="27">
      <calculatedColumnFormula>G2*0.01</calculatedColumnFormula>
    </tableColumn>
    <tableColumn id="6" xr3:uid="{C449B75D-AB9C-4E10-84EE-2C201318BFD6}" name=" Jun_1pct " dataDxfId="160" totalsRowDxfId="26">
      <calculatedColumnFormula>H2*0.01</calculatedColumnFormula>
    </tableColumn>
    <tableColumn id="7" xr3:uid="{E9889C15-F6A1-4212-8A2C-A6745FF6D0B8}" name=" Jul_1pct " dataDxfId="159" totalsRowDxfId="25">
      <calculatedColumnFormula>I2*0.01</calculatedColumnFormula>
    </tableColumn>
    <tableColumn id="8" xr3:uid="{79BC2D1F-A73C-433D-99D3-64F4EBDCBD59}" name=" Aug_1pct " dataDxfId="158" totalsRowDxfId="24">
      <calculatedColumnFormula>J2*0.01</calculatedColumnFormula>
    </tableColumn>
    <tableColumn id="9" xr3:uid="{CBA9E9CE-250C-4FF7-9B9E-FCC7F4C7CBF1}" name=" Sep_1pct " dataDxfId="157" totalsRowDxfId="23">
      <calculatedColumnFormula>K2*0.01</calculatedColumnFormula>
    </tableColumn>
    <tableColumn id="10" xr3:uid="{27F03AD9-E2AD-4E81-A05D-C704C137D47C}" name=" Oct_1pct " dataDxfId="156" totalsRowDxfId="22">
      <calculatedColumnFormula>L2*0.01</calculatedColumnFormula>
    </tableColumn>
    <tableColumn id="11" xr3:uid="{63E2DB69-E6D8-49B3-9CE0-1C1A325C3F09}" name=" Nov_1pct " dataDxfId="155" totalsRowDxfId="21">
      <calculatedColumnFormula>M2*0.01</calculatedColumnFormula>
    </tableColumn>
    <tableColumn id="12" xr3:uid="{15E222A3-4D5F-422A-AEC6-CE1E8F49ECB7}" name=" Dec_1pct " dataDxfId="154" totalsRowDxfId="20">
      <calculatedColumnFormula>N2*0.01</calculatedColumnFormula>
    </tableColumn>
    <tableColumn id="13" xr3:uid="{3AB75996-2373-4C3C-8A94-85FA1BAC6DC0}" name=" Annual_1pct_Credit " totalsRowFunction="custom" dataDxfId="153" totalsRowDxfId="19">
      <calculatedColumnFormula>SUM(Q2:AB2)</calculatedColumnFormula>
      <totalsRowFormula>AC128+AC105+AC99+AC45+AC39+AC32+AC26+AC19+AC17+AC15</totalsRow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33649B-E8BB-483E-A48A-51CEDD705DC9}" name="Table4" displayName="Table4" ref="A1:O129" totalsRowCount="1" headerRowDxfId="152" dataDxfId="151">
  <autoFilter ref="A1:O128" xr:uid="{7933649B-E8BB-483E-A48A-51CEDD705DC9}"/>
  <tableColumns count="15">
    <tableColumn id="1" xr3:uid="{2730F9D1-A371-43C1-8786-FC23636F28E0}" name="Location" dataDxfId="150" totalsRowDxfId="18"/>
    <tableColumn id="15" xr3:uid="{38E0E46C-7DF4-415D-9B7A-5E758AFC1DD6}" name="State" dataDxfId="149" totalsRowDxfId="17"/>
    <tableColumn id="2" xr3:uid="{B3D79796-E230-4A62-822C-62D4C532D504}" name="Jan_Projected_Pay" dataDxfId="148" totalsRowDxfId="16">
      <calculatedColumnFormula array="1">IFERROR(
    _xlfn.XLOOKUP(
        $A2,
        Table1[Location],
        INDEX(Table1[], , MATCH(C$1, Table1[#Headers], 0))
    ),
"")</calculatedColumnFormula>
    </tableColumn>
    <tableColumn id="3" xr3:uid="{5ABACB0F-8A1C-4D57-AA06-1888DC50DA63}" name="Feb_Projected_Pay" dataDxfId="147" totalsRowDxfId="15">
      <calculatedColumnFormula array="1">IFERROR(
    _xlfn.XLOOKUP(
        $A2,
        Table1[Location],
        INDEX(Table1[], , MATCH(D$1, Table1[#Headers], 0))
    ),
"")</calculatedColumnFormula>
    </tableColumn>
    <tableColumn id="4" xr3:uid="{12EFEAFF-B897-4C18-AABE-42F9F7B6251D}" name="Mar_Projected_Pay" dataDxfId="146" totalsRowDxfId="14">
      <calculatedColumnFormula array="1">IFERROR(
    _xlfn.XLOOKUP(
        $A2,
        Table1[Location],
        INDEX(Table1[], , MATCH(E$1, Table1[#Headers], 0))
    ),
"")</calculatedColumnFormula>
    </tableColumn>
    <tableColumn id="5" xr3:uid="{57F5D03D-0AB0-4620-8787-C371E4C0A76D}" name="Apr_Projected_Pay" dataDxfId="145" totalsRowDxfId="13">
      <calculatedColumnFormula array="1">IFERROR(
    _xlfn.XLOOKUP(
        $A2,
        Table1[Location],
        INDEX(Table1[], , MATCH(F$1, Table1[#Headers], 0))
    ),
"")</calculatedColumnFormula>
    </tableColumn>
    <tableColumn id="6" xr3:uid="{924E43A1-0886-4E0B-9131-69BDC1FF3B72}" name="May_Projected_Pay" dataDxfId="144" totalsRowDxfId="12">
      <calculatedColumnFormula array="1">IFERROR(
    _xlfn.XLOOKUP(
        $A2,
        Table1[Location],
        INDEX(Table1[], , MATCH(G$1, Table1[#Headers], 0))
    ),
"")</calculatedColumnFormula>
    </tableColumn>
    <tableColumn id="7" xr3:uid="{D4ED709C-2EA3-4929-A415-58487C0AB617}" name="Jun_Projected_Pay" dataDxfId="143" totalsRowDxfId="11">
      <calculatedColumnFormula array="1">IFERROR(
    _xlfn.XLOOKUP(
        $A2,
        Table1[Location],
        INDEX(Table1[], , MATCH(H$1, Table1[#Headers], 0))
    ),
"")</calculatedColumnFormula>
    </tableColumn>
    <tableColumn id="8" xr3:uid="{716081A1-2596-4A5A-9C3D-BAABE0B3711B}" name="Jul_Projected_Pay" dataDxfId="142" totalsRowDxfId="10">
      <calculatedColumnFormula array="1">IFERROR(
    _xlfn.XLOOKUP(
        $A2,
        Table1[Location],
        INDEX(Table1[], , MATCH(I$1, Table1[#Headers], 0))
    ),
"")</calculatedColumnFormula>
    </tableColumn>
    <tableColumn id="9" xr3:uid="{9BFAFD9C-D711-429D-AC6C-D7D54BDF3711}" name="Aug_Projected_Pay" dataDxfId="141" totalsRowDxfId="9">
      <calculatedColumnFormula array="1">IFERROR(
    _xlfn.XLOOKUP(
        $A2,
        Table1[Location],
        INDEX(Table1[], , MATCH(J$1, Table1[#Headers], 0))
    ),
"")</calculatedColumnFormula>
    </tableColumn>
    <tableColumn id="10" xr3:uid="{1AA76F19-2CBE-41EC-98B3-33A747783E0A}" name="Sep_Projected_Pay" dataDxfId="140" totalsRowDxfId="8">
      <calculatedColumnFormula array="1">IFERROR(
    _xlfn.XLOOKUP(
        $A2,
        Table1[Location],
        INDEX(Table1[], , MATCH(K$1, Table1[#Headers], 0))
    ),
"")</calculatedColumnFormula>
    </tableColumn>
    <tableColumn id="11" xr3:uid="{94ED55BA-9297-461F-953F-779938361B9C}" name="Oct_Projected_Pay" dataDxfId="139" totalsRowDxfId="7">
      <calculatedColumnFormula array="1">IFERROR(
    _xlfn.XLOOKUP(
        $A2,
        Table1[Location],
        INDEX(Table1[], , MATCH(L$1, Table1[#Headers], 0))
    ),
"")</calculatedColumnFormula>
    </tableColumn>
    <tableColumn id="12" xr3:uid="{5361AF23-6C6B-49BE-8266-3781413FF499}" name="Nov_Projected_Pay" dataDxfId="138" totalsRowDxfId="6">
      <calculatedColumnFormula array="1">IFERROR(
    _xlfn.XLOOKUP(
        $A2,
        Table1[Location],
        INDEX(Table1[], , MATCH(M$1, Table1[#Headers], 0))
    ),
"")</calculatedColumnFormula>
    </tableColumn>
    <tableColumn id="13" xr3:uid="{0A393C84-5D17-44CC-9CA0-B6E3EFDAE398}" name="Dec_Projected_Pay" dataDxfId="137" totalsRowDxfId="5">
      <calculatedColumnFormula array="1">IFERROR(
    _xlfn.XLOOKUP(
        $A2,
        Table1[Location],
        INDEX(Table1[], , MATCH(N$1, Table1[#Headers], 0))
    ),
"")</calculatedColumnFormula>
    </tableColumn>
    <tableColumn id="14" xr3:uid="{979DC23C-0136-4558-8907-9F471E9330B8}" name=" totals  " dataDxfId="136" totalsRowDxfId="4">
      <calculatedColumnFormula>SUM(C2:N2)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67"/>
  <sheetViews>
    <sheetView tabSelected="1" topLeftCell="A10" zoomScale="85" zoomScaleNormal="85" workbookViewId="0">
      <pane xSplit="2" topLeftCell="AQ1" activePane="topRight" state="frozen"/>
      <selection activeCell="A106" sqref="A106"/>
      <selection pane="topRight" activeCell="BB136" sqref="BB136"/>
    </sheetView>
  </sheetViews>
  <sheetFormatPr defaultColWidth="13.5546875" defaultRowHeight="14.4" x14ac:dyDescent="0.3"/>
  <cols>
    <col min="1" max="1" width="31.6640625" customWidth="1"/>
    <col min="2" max="2" width="18.109375" customWidth="1"/>
    <col min="3" max="3" width="25.33203125" customWidth="1"/>
    <col min="4" max="4" width="18" customWidth="1"/>
    <col min="5" max="5" width="11.77734375" customWidth="1"/>
    <col min="6" max="6" width="17.109375" customWidth="1"/>
    <col min="7" max="7" width="24.109375" customWidth="1"/>
    <col min="8" max="8" width="15" customWidth="1"/>
    <col min="9" max="9" width="17.33203125" customWidth="1"/>
    <col min="10" max="10" width="15.109375" customWidth="1"/>
    <col min="11" max="11" width="29.21875" customWidth="1"/>
    <col min="12" max="12" width="22" customWidth="1"/>
    <col min="13" max="13" width="25.88671875" customWidth="1"/>
    <col min="14" max="14" width="14.33203125" customWidth="1"/>
    <col min="15" max="15" width="16" customWidth="1"/>
    <col min="16" max="16" width="14.88671875" customWidth="1"/>
    <col min="19" max="19" width="17.33203125" customWidth="1"/>
    <col min="20" max="20" width="15.44140625" customWidth="1"/>
    <col min="23" max="23" width="15.88671875" customWidth="1"/>
    <col min="24" max="24" width="14.77734375" customWidth="1"/>
    <col min="27" max="27" width="15.44140625" customWidth="1"/>
    <col min="28" max="28" width="14.33203125" customWidth="1"/>
    <col min="31" max="31" width="16.21875" customWidth="1"/>
    <col min="32" max="32" width="15.109375" customWidth="1"/>
    <col min="35" max="35" width="19" customWidth="1"/>
    <col min="36" max="36" width="15" customWidth="1"/>
    <col min="39" max="39" width="15.88671875" customWidth="1"/>
    <col min="40" max="40" width="14.77734375" customWidth="1"/>
    <col min="41" max="41" width="18.77734375" customWidth="1"/>
    <col min="43" max="43" width="16.33203125" customWidth="1"/>
    <col min="44" max="44" width="15.21875" customWidth="1"/>
    <col min="47" max="47" width="16.109375" customWidth="1"/>
    <col min="48" max="48" width="15" customWidth="1"/>
    <col min="51" max="51" width="21.44140625" customWidth="1"/>
    <col min="52" max="52" width="17.33203125" customWidth="1"/>
    <col min="53" max="54" width="15.109375" customWidth="1"/>
  </cols>
  <sheetData>
    <row r="1" spans="1:5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</row>
    <row r="2" spans="1:54" x14ac:dyDescent="0.3">
      <c r="A2" t="s">
        <v>54</v>
      </c>
      <c r="B2" t="s">
        <v>55</v>
      </c>
      <c r="C2" s="46">
        <v>5184.5130719999997</v>
      </c>
      <c r="D2" s="6">
        <f>Table1[[#This Row],[Jan_Projected_Pay]]*0.08</f>
        <v>414.76104576</v>
      </c>
      <c r="E2" s="5">
        <f>Table1[[#This Row],[Jan_Projected_Pay]]*0.02</f>
        <v>103.69026144</v>
      </c>
      <c r="F2" s="5">
        <v>600</v>
      </c>
      <c r="G2" s="45">
        <v>13127.718018</v>
      </c>
      <c r="H2" s="5">
        <f>Table1[[#This Row],[Feb_Projected_Pay]]*0.08</f>
        <v>1050.2174414399999</v>
      </c>
      <c r="I2" s="5">
        <f>Table1[[#This Row],[Feb_Projected_Pay]]*0.02</f>
        <v>262.55436035999998</v>
      </c>
      <c r="J2" s="5">
        <v>600</v>
      </c>
      <c r="K2" s="45">
        <v>41349</v>
      </c>
      <c r="L2" s="5">
        <f>Table1[[#This Row],[Mar_Projected_Pay]]*0.08</f>
        <v>3307.92</v>
      </c>
      <c r="M2" s="5">
        <f>Table1[[#This Row],[Mar_Projected_Pay]]*0.02</f>
        <v>826.98</v>
      </c>
      <c r="N2" s="5">
        <v>600</v>
      </c>
      <c r="O2" s="45">
        <v>38635</v>
      </c>
      <c r="P2" s="5">
        <f>Table1[[#This Row],[Apr_Projected_Pay]]*0.08</f>
        <v>3090.8</v>
      </c>
      <c r="Q2" s="5">
        <f>Table1[[#This Row],[Apr_Projected_Pay]]*0.02</f>
        <v>772.7</v>
      </c>
      <c r="R2" s="5">
        <v>600</v>
      </c>
      <c r="S2" s="45">
        <v>64547.851393999998</v>
      </c>
      <c r="T2" s="5">
        <f>Table1[[#This Row],[May_Projected_Pay]]*0.08</f>
        <v>5163.8281115199998</v>
      </c>
      <c r="U2" s="5">
        <f>Table1[[#This Row],[May_Projected_Pay]]*0.02</f>
        <v>1290.9570278799999</v>
      </c>
      <c r="V2" s="5">
        <v>600</v>
      </c>
      <c r="W2" s="45">
        <v>41349</v>
      </c>
      <c r="X2" s="5">
        <f>Table1[[#This Row],[Jun_Projected_Pay]]*0.08</f>
        <v>3307.92</v>
      </c>
      <c r="Y2" s="5">
        <f>Table1[[#This Row],[Jun_Projected_Pay]]*0.02</f>
        <v>826.98</v>
      </c>
      <c r="Z2" s="5">
        <v>600</v>
      </c>
      <c r="AA2" s="45">
        <v>21096.403095999998</v>
      </c>
      <c r="AB2" s="5">
        <f>Table1[[#This Row],[Jul_Projected_Pay]]*0.08</f>
        <v>1687.7122476799998</v>
      </c>
      <c r="AC2" s="5">
        <f>Table1[[#This Row],[Jul_Projected_Pay]]*0.02</f>
        <v>421.92806191999995</v>
      </c>
      <c r="AD2" s="5">
        <v>600</v>
      </c>
      <c r="AE2" s="45">
        <v>42359</v>
      </c>
      <c r="AF2" s="5">
        <f>Table1[[#This Row],[Aug_Projected_Pay]]*0.08</f>
        <v>3388.7200000000003</v>
      </c>
      <c r="AG2" s="5">
        <f>Table1[[#This Row],[Aug_Projected_Pay]]*0.02</f>
        <v>847.18000000000006</v>
      </c>
      <c r="AH2" s="5">
        <v>600</v>
      </c>
      <c r="AI2" s="45">
        <v>25239</v>
      </c>
      <c r="AJ2" s="5">
        <f>Table1[[#This Row],[Sep_Projected_Pay]]*0.08</f>
        <v>2019.1200000000001</v>
      </c>
      <c r="AK2" s="5">
        <f>Table1[[#This Row],[Sep_Projected_Pay]]*0.02</f>
        <v>504.78000000000003</v>
      </c>
      <c r="AL2" s="5">
        <v>600</v>
      </c>
      <c r="AM2" s="45">
        <v>68422</v>
      </c>
      <c r="AN2" s="5">
        <f>Table1[[#This Row],[Oct_Projected_Pay]]*0.08</f>
        <v>5473.76</v>
      </c>
      <c r="AO2" s="5">
        <f>Table1[[#This Row],[Oct_Projected_Pay]]*0.02</f>
        <v>1368.44</v>
      </c>
      <c r="AP2" s="5">
        <v>600</v>
      </c>
      <c r="AQ2" s="45">
        <v>13915.450279000001</v>
      </c>
      <c r="AR2" s="5">
        <f>Table1[[#This Row],[Nov_Projected_Pay]]*0.08</f>
        <v>1113.2360223200001</v>
      </c>
      <c r="AS2" s="5">
        <f>Table1[[#This Row],[Nov_Projected_Pay]]*0.02</f>
        <v>278.30900558000002</v>
      </c>
      <c r="AT2" s="5">
        <v>600</v>
      </c>
      <c r="AU2" s="45">
        <v>26486.426404000002</v>
      </c>
      <c r="AV2" s="5">
        <f>Table1[[#This Row],[Dec_Projected_Pay]]*0.08</f>
        <v>2118.9141123200002</v>
      </c>
      <c r="AW2" s="5">
        <f>Table1[[#This Row],[Dec_Projected_Pay]]*0.02</f>
        <v>529.72852808000005</v>
      </c>
      <c r="AX2" s="5">
        <v>600</v>
      </c>
      <c r="AY2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401711.36226299999</v>
      </c>
      <c r="AZ2" s="59">
        <f>D2+H2+L2+P2+T2+X2+AB2+AF2+AJ2+AN2+AR2+AV2</f>
        <v>32136.90898104</v>
      </c>
      <c r="BA2" s="59">
        <f>E2+I2+M2+Q2+U2+Y2+AC2+AG2+AK2+AO2+AS2+AW2</f>
        <v>8034.22724526</v>
      </c>
      <c r="BB2" s="59">
        <f>F2+J2+N2+R2+V2+Z2+AD2+AH2+AL2+AP2+AT2+AX2</f>
        <v>7200</v>
      </c>
    </row>
    <row r="3" spans="1:54" x14ac:dyDescent="0.3">
      <c r="A3" s="3" t="s">
        <v>56</v>
      </c>
      <c r="B3" t="s">
        <v>57</v>
      </c>
      <c r="C3" s="46">
        <v>0</v>
      </c>
      <c r="D3" s="5">
        <f>Table1[[#This Row],[Jan_Projected_Pay]]*0.08</f>
        <v>0</v>
      </c>
      <c r="E3" s="5">
        <f>Table1[[#This Row],[Jan_Projected_Pay]]*0.02</f>
        <v>0</v>
      </c>
      <c r="F3" s="5">
        <v>458</v>
      </c>
      <c r="G3" s="45">
        <v>0</v>
      </c>
      <c r="H3" s="5">
        <f>Table1[[#This Row],[Feb_Projected_Pay]]*0.08</f>
        <v>0</v>
      </c>
      <c r="I3" s="5">
        <f>Table1[[#This Row],[Feb_Projected_Pay]]*0.02</f>
        <v>0</v>
      </c>
      <c r="J3" s="5">
        <v>458</v>
      </c>
      <c r="K3" s="45">
        <v>9115</v>
      </c>
      <c r="L3" s="5">
        <f>Table1[[#This Row],[Mar_Projected_Pay]]*0.08</f>
        <v>729.2</v>
      </c>
      <c r="M3" s="5">
        <f>Table1[[#This Row],[Mar_Projected_Pay]]*0.02</f>
        <v>182.3</v>
      </c>
      <c r="N3" s="5">
        <v>458</v>
      </c>
      <c r="O3" s="45">
        <v>9115</v>
      </c>
      <c r="P3" s="5">
        <f>Table1[[#This Row],[Apr_Projected_Pay]]*0.08</f>
        <v>729.2</v>
      </c>
      <c r="Q3" s="5">
        <f>Table1[[#This Row],[Apr_Projected_Pay]]*0.02</f>
        <v>182.3</v>
      </c>
      <c r="R3" s="5">
        <v>458</v>
      </c>
      <c r="S3" s="45">
        <v>17570</v>
      </c>
      <c r="T3" s="5">
        <f>Table1[[#This Row],[May_Projected_Pay]]*0.08</f>
        <v>1405.6000000000001</v>
      </c>
      <c r="U3" s="5">
        <f>Table1[[#This Row],[May_Projected_Pay]]*0.02</f>
        <v>351.40000000000003</v>
      </c>
      <c r="V3" s="5">
        <v>458</v>
      </c>
      <c r="W3" s="45">
        <v>12335.340206999999</v>
      </c>
      <c r="X3" s="5">
        <f>Table1[[#This Row],[Jun_Projected_Pay]]*0.08</f>
        <v>986.82721656000001</v>
      </c>
      <c r="Y3" s="5">
        <f>Table1[[#This Row],[Jun_Projected_Pay]]*0.02</f>
        <v>246.70680414</v>
      </c>
      <c r="Z3" s="5">
        <v>458</v>
      </c>
      <c r="AA3" s="45">
        <v>20150.561285</v>
      </c>
      <c r="AB3" s="5">
        <f>Table1[[#This Row],[Jul_Projected_Pay]]*0.08</f>
        <v>1612.0449028</v>
      </c>
      <c r="AC3" s="5">
        <f>Table1[[#This Row],[Jul_Projected_Pay]]*0.02</f>
        <v>403.01122570000001</v>
      </c>
      <c r="AD3" s="5">
        <v>458</v>
      </c>
      <c r="AE3" s="45">
        <v>4671.8938390000003</v>
      </c>
      <c r="AF3" s="5">
        <f>Table1[[#This Row],[Aug_Projected_Pay]]*0.08</f>
        <v>373.75150712000004</v>
      </c>
      <c r="AG3" s="5">
        <f>Table1[[#This Row],[Aug_Projected_Pay]]*0.02</f>
        <v>93.437876780000011</v>
      </c>
      <c r="AH3" s="5">
        <v>458</v>
      </c>
      <c r="AI3" s="45">
        <v>12683</v>
      </c>
      <c r="AJ3" s="5">
        <f>Table1[[#This Row],[Sep_Projected_Pay]]*0.08</f>
        <v>1014.64</v>
      </c>
      <c r="AK3" s="5">
        <f>Table1[[#This Row],[Sep_Projected_Pay]]*0.02</f>
        <v>253.66</v>
      </c>
      <c r="AL3" s="5">
        <v>458</v>
      </c>
      <c r="AM3" s="45">
        <v>10435.009027</v>
      </c>
      <c r="AN3" s="5">
        <f>Table1[[#This Row],[Oct_Projected_Pay]]*0.08</f>
        <v>834.80072216000008</v>
      </c>
      <c r="AO3" s="5">
        <f>Table1[[#This Row],[Oct_Projected_Pay]]*0.02</f>
        <v>208.70018054000002</v>
      </c>
      <c r="AP3" s="5">
        <v>458</v>
      </c>
      <c r="AQ3" s="45">
        <v>1657.1135650000001</v>
      </c>
      <c r="AR3" s="5">
        <f>Table1[[#This Row],[Nov_Projected_Pay]]*0.08</f>
        <v>132.56908520000002</v>
      </c>
      <c r="AS3" s="5">
        <f>Table1[[#This Row],[Nov_Projected_Pay]]*0.02</f>
        <v>33.142271300000004</v>
      </c>
      <c r="AT3" s="5">
        <v>458</v>
      </c>
      <c r="AU3" s="45">
        <v>1553.5439670000001</v>
      </c>
      <c r="AV3" s="5">
        <f>Table1[[#This Row],[Dec_Projected_Pay]]*0.08</f>
        <v>124.28351736</v>
      </c>
      <c r="AW3" s="5">
        <f>Table1[[#This Row],[Dec_Projected_Pay]]*0.02</f>
        <v>31.070879340000001</v>
      </c>
      <c r="AX3" s="5">
        <v>458</v>
      </c>
      <c r="AY3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99286.461890000006</v>
      </c>
      <c r="AZ3" s="59">
        <f>D3+H3+L3+P3+T3+X3+AB3+AF3+AJ3+AN3+AR3+AV3</f>
        <v>7942.9169512000008</v>
      </c>
      <c r="BA3" s="59">
        <f>E3+I3+M3+Q3+U3+Y3+AC3+AG3+AK3+AO3+AS3+AW3</f>
        <v>1985.7292378000002</v>
      </c>
      <c r="BB3" s="59">
        <f>F3+J3+N3+R3+V3+Z3+AD3+AH3+AL3+AP3+AT3+AX3</f>
        <v>5496</v>
      </c>
    </row>
    <row r="4" spans="1:54" x14ac:dyDescent="0.3">
      <c r="A4" t="s">
        <v>58</v>
      </c>
      <c r="B4" t="s">
        <v>57</v>
      </c>
      <c r="C4" s="46">
        <v>2250</v>
      </c>
      <c r="D4" s="5">
        <f>Table1[[#This Row],[Jan_Projected_Pay]]*0.08</f>
        <v>180</v>
      </c>
      <c r="E4" s="5">
        <f>Table1[[#This Row],[Jan_Projected_Pay]]*0.02</f>
        <v>45</v>
      </c>
      <c r="F4" s="5">
        <v>650</v>
      </c>
      <c r="G4" s="45">
        <v>7521</v>
      </c>
      <c r="H4" s="5">
        <f>Table1[[#This Row],[Feb_Projected_Pay]]*0.08</f>
        <v>601.68000000000006</v>
      </c>
      <c r="I4" s="5">
        <f>Table1[[#This Row],[Feb_Projected_Pay]]*0.02</f>
        <v>150.42000000000002</v>
      </c>
      <c r="J4" s="5">
        <v>650</v>
      </c>
      <c r="K4" s="45">
        <v>12347</v>
      </c>
      <c r="L4" s="5">
        <f>Table1[[#This Row],[Mar_Projected_Pay]]*0.08</f>
        <v>987.76</v>
      </c>
      <c r="M4" s="5">
        <f>Table1[[#This Row],[Mar_Projected_Pay]]*0.02</f>
        <v>246.94</v>
      </c>
      <c r="N4" s="5">
        <v>650</v>
      </c>
      <c r="O4" s="45">
        <v>22496</v>
      </c>
      <c r="P4" s="5">
        <f>Table1[[#This Row],[Apr_Projected_Pay]]*0.08</f>
        <v>1799.68</v>
      </c>
      <c r="Q4" s="5">
        <f>Table1[[#This Row],[Apr_Projected_Pay]]*0.02</f>
        <v>449.92</v>
      </c>
      <c r="R4" s="5">
        <v>650</v>
      </c>
      <c r="S4" s="45">
        <v>15241</v>
      </c>
      <c r="T4" s="5">
        <f>Table1[[#This Row],[May_Projected_Pay]]*0.08</f>
        <v>1219.28</v>
      </c>
      <c r="U4" s="5">
        <f>Table1[[#This Row],[May_Projected_Pay]]*0.02</f>
        <v>304.82</v>
      </c>
      <c r="V4" s="5">
        <v>650</v>
      </c>
      <c r="W4" s="45">
        <v>12361</v>
      </c>
      <c r="X4" s="5">
        <f>Table1[[#This Row],[Jun_Projected_Pay]]*0.08</f>
        <v>988.88</v>
      </c>
      <c r="Y4" s="5">
        <f>Table1[[#This Row],[Jun_Projected_Pay]]*0.02</f>
        <v>247.22</v>
      </c>
      <c r="Z4" s="5">
        <v>650</v>
      </c>
      <c r="AA4" s="45">
        <v>24321</v>
      </c>
      <c r="AB4" s="5">
        <f>Table1[[#This Row],[Jul_Projected_Pay]]*0.08</f>
        <v>1945.68</v>
      </c>
      <c r="AC4" s="5">
        <f>Table1[[#This Row],[Jul_Projected_Pay]]*0.02</f>
        <v>486.42</v>
      </c>
      <c r="AD4" s="5">
        <v>650</v>
      </c>
      <c r="AE4" s="45">
        <v>16520</v>
      </c>
      <c r="AF4" s="5">
        <f>Table1[[#This Row],[Aug_Projected_Pay]]*0.08</f>
        <v>1321.6000000000001</v>
      </c>
      <c r="AG4" s="5">
        <f>Table1[[#This Row],[Aug_Projected_Pay]]*0.02</f>
        <v>330.40000000000003</v>
      </c>
      <c r="AH4" s="5">
        <v>650</v>
      </c>
      <c r="AI4" s="45">
        <v>8973.953716</v>
      </c>
      <c r="AJ4" s="5">
        <f>Table1[[#This Row],[Sep_Projected_Pay]]*0.08</f>
        <v>717.91629727999998</v>
      </c>
      <c r="AK4" s="5">
        <f>Table1[[#This Row],[Sep_Projected_Pay]]*0.02</f>
        <v>179.47907432</v>
      </c>
      <c r="AL4" s="5">
        <v>650</v>
      </c>
      <c r="AM4" s="45">
        <v>22061</v>
      </c>
      <c r="AN4" s="5">
        <f>Table1[[#This Row],[Oct_Projected_Pay]]*0.08</f>
        <v>1764.88</v>
      </c>
      <c r="AO4" s="5">
        <f>Table1[[#This Row],[Oct_Projected_Pay]]*0.02</f>
        <v>441.22</v>
      </c>
      <c r="AP4" s="5">
        <v>650</v>
      </c>
      <c r="AQ4" s="45">
        <v>9421</v>
      </c>
      <c r="AR4" s="5">
        <f>Table1[[#This Row],[Nov_Projected_Pay]]*0.08</f>
        <v>753.68000000000006</v>
      </c>
      <c r="AS4" s="5">
        <f>Table1[[#This Row],[Nov_Projected_Pay]]*0.02</f>
        <v>188.42000000000002</v>
      </c>
      <c r="AT4" s="5">
        <v>650</v>
      </c>
      <c r="AU4" s="45">
        <v>2094.4588159999998</v>
      </c>
      <c r="AV4" s="5">
        <f>Table1[[#This Row],[Dec_Projected_Pay]]*0.08</f>
        <v>167.55670527999999</v>
      </c>
      <c r="AW4" s="5">
        <f>Table1[[#This Row],[Dec_Projected_Pay]]*0.02</f>
        <v>41.889176319999997</v>
      </c>
      <c r="AX4" s="5">
        <v>650</v>
      </c>
      <c r="AY4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155607.41253199999</v>
      </c>
      <c r="AZ4" s="59">
        <f>D4+H4+L4+P4+T4+X4+AB4+AF4+AJ4+AN4+AR4+AV4</f>
        <v>12448.593002559999</v>
      </c>
      <c r="BA4" s="59">
        <f>E4+I4+M4+Q4+U4+Y4+AC4+AG4+AK4+AO4+AS4+AW4</f>
        <v>3112.1482506399998</v>
      </c>
      <c r="BB4" s="59">
        <f>F4+J4+N4+R4+V4+Z4+AD4+AH4+AL4+AP4+AT4+AX4</f>
        <v>7800</v>
      </c>
    </row>
    <row r="5" spans="1:54" x14ac:dyDescent="0.3">
      <c r="A5" s="30" t="s">
        <v>59</v>
      </c>
      <c r="B5" t="s">
        <v>60</v>
      </c>
      <c r="C5" s="46">
        <v>0</v>
      </c>
      <c r="D5" s="5">
        <f>Table1[[#This Row],[Jan_Projected_Pay]]*0.08</f>
        <v>0</v>
      </c>
      <c r="E5" s="5">
        <f>Table1[[#This Row],[Jan_Projected_Pay]]*0.02</f>
        <v>0</v>
      </c>
      <c r="F5" s="5">
        <v>600</v>
      </c>
      <c r="G5" s="45">
        <v>0</v>
      </c>
      <c r="H5" s="5">
        <f>Table1[[#This Row],[Feb_Projected_Pay]]*0.08</f>
        <v>0</v>
      </c>
      <c r="I5" s="5">
        <f>Table1[[#This Row],[Feb_Projected_Pay]]*0.02</f>
        <v>0</v>
      </c>
      <c r="J5" s="5">
        <v>600</v>
      </c>
      <c r="K5" s="45">
        <v>0</v>
      </c>
      <c r="L5" s="5">
        <f>Table1[[#This Row],[Mar_Projected_Pay]]*0.08</f>
        <v>0</v>
      </c>
      <c r="M5" s="5">
        <f>Table1[[#This Row],[Mar_Projected_Pay]]*0.02</f>
        <v>0</v>
      </c>
      <c r="N5" s="5">
        <v>0</v>
      </c>
      <c r="O5" s="45">
        <v>0</v>
      </c>
      <c r="P5" s="5">
        <f>Table1[[#This Row],[Apr_Projected_Pay]]*0.08</f>
        <v>0</v>
      </c>
      <c r="Q5" s="5">
        <f>Table1[[#This Row],[Apr_Projected_Pay]]*0.02</f>
        <v>0</v>
      </c>
      <c r="R5" s="5">
        <v>0</v>
      </c>
      <c r="S5" s="45">
        <v>0</v>
      </c>
      <c r="T5" s="5">
        <f>Table1[[#This Row],[May_Projected_Pay]]*0.08</f>
        <v>0</v>
      </c>
      <c r="U5" s="5">
        <f>Table1[[#This Row],[May_Projected_Pay]]*0.02</f>
        <v>0</v>
      </c>
      <c r="V5" s="5">
        <v>0</v>
      </c>
      <c r="W5" s="45">
        <v>0</v>
      </c>
      <c r="X5" s="5">
        <f>Table1[[#This Row],[Jun_Projected_Pay]]*0.08</f>
        <v>0</v>
      </c>
      <c r="Y5" s="5">
        <f>Table1[[#This Row],[Jun_Projected_Pay]]*0.02</f>
        <v>0</v>
      </c>
      <c r="Z5" s="5">
        <v>0</v>
      </c>
      <c r="AA5" s="45">
        <v>0</v>
      </c>
      <c r="AB5" s="5">
        <f>Table1[[#This Row],[Jul_Projected_Pay]]*0.08</f>
        <v>0</v>
      </c>
      <c r="AC5" s="5">
        <f>Table1[[#This Row],[Jul_Projected_Pay]]*0.02</f>
        <v>0</v>
      </c>
      <c r="AD5" s="5">
        <v>0</v>
      </c>
      <c r="AE5" s="45">
        <v>0</v>
      </c>
      <c r="AF5" s="5">
        <f>Table1[[#This Row],[Aug_Projected_Pay]]*0.08</f>
        <v>0</v>
      </c>
      <c r="AG5" s="5">
        <f>Table1[[#This Row],[Aug_Projected_Pay]]*0.02</f>
        <v>0</v>
      </c>
      <c r="AH5" s="5">
        <v>0</v>
      </c>
      <c r="AI5" s="45">
        <v>0</v>
      </c>
      <c r="AJ5" s="5">
        <f>Table1[[#This Row],[Sep_Projected_Pay]]*0.08</f>
        <v>0</v>
      </c>
      <c r="AK5" s="5">
        <f>Table1[[#This Row],[Sep_Projected_Pay]]*0.02</f>
        <v>0</v>
      </c>
      <c r="AL5" s="5">
        <v>0</v>
      </c>
      <c r="AM5" s="45">
        <v>0</v>
      </c>
      <c r="AN5" s="5">
        <f>Table1[[#This Row],[Oct_Projected_Pay]]*0.08</f>
        <v>0</v>
      </c>
      <c r="AO5" s="5">
        <f>Table1[[#This Row],[Oct_Projected_Pay]]*0.02</f>
        <v>0</v>
      </c>
      <c r="AP5" s="5">
        <v>0</v>
      </c>
      <c r="AQ5" s="45">
        <v>0</v>
      </c>
      <c r="AR5" s="5">
        <f>Table1[[#This Row],[Nov_Projected_Pay]]*0.08</f>
        <v>0</v>
      </c>
      <c r="AS5" s="5">
        <f>Table1[[#This Row],[Nov_Projected_Pay]]*0.02</f>
        <v>0</v>
      </c>
      <c r="AT5" s="5">
        <v>0</v>
      </c>
      <c r="AU5" s="45">
        <v>0</v>
      </c>
      <c r="AV5" s="5">
        <f>Table1[[#This Row],[Dec_Projected_Pay]]*0.08</f>
        <v>0</v>
      </c>
      <c r="AW5" s="5">
        <f>Table1[[#This Row],[Dec_Projected_Pay]]*0.02</f>
        <v>0</v>
      </c>
      <c r="AX5" s="5">
        <v>0</v>
      </c>
      <c r="AY5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0</v>
      </c>
      <c r="AZ5" s="59">
        <f>D5+H5+L5+P5+T5+X5+AB5+AF5+AJ5+AN5+AR5+AV5</f>
        <v>0</v>
      </c>
      <c r="BA5" s="59">
        <f>E5+I5+M5+Q5+U5+Y5+AC5+AG5+AK5+AO5+AS5+AW5</f>
        <v>0</v>
      </c>
      <c r="BB5" s="59">
        <f>F5+J5+N5+R5+V5+Z5+AD5+AH5+AL5+AP5+AT5+AX5</f>
        <v>1200</v>
      </c>
    </row>
    <row r="6" spans="1:54" x14ac:dyDescent="0.3">
      <c r="A6" s="30" t="s">
        <v>61</v>
      </c>
      <c r="B6" t="s">
        <v>62</v>
      </c>
      <c r="C6" s="46">
        <v>15281</v>
      </c>
      <c r="D6" s="5">
        <f>Table1[[#This Row],[Jan_Projected_Pay]]*0.08</f>
        <v>1222.48</v>
      </c>
      <c r="E6" s="5">
        <f>Table1[[#This Row],[Jan_Projected_Pay]]*0.02</f>
        <v>305.62</v>
      </c>
      <c r="F6" s="5">
        <v>458</v>
      </c>
      <c r="G6" s="45">
        <v>12265</v>
      </c>
      <c r="H6" s="5">
        <f>Table1[[#This Row],[Feb_Projected_Pay]]*0.08</f>
        <v>981.2</v>
      </c>
      <c r="I6" s="5">
        <f>Table1[[#This Row],[Feb_Projected_Pay]]*0.02</f>
        <v>245.3</v>
      </c>
      <c r="J6" s="5">
        <v>458</v>
      </c>
      <c r="K6" s="45">
        <v>26766.808411000002</v>
      </c>
      <c r="L6" s="5">
        <f>Table1[[#This Row],[Mar_Projected_Pay]]*0.08</f>
        <v>2141.34467288</v>
      </c>
      <c r="M6" s="5">
        <f>Table1[[#This Row],[Mar_Projected_Pay]]*0.02</f>
        <v>535.33616821999999</v>
      </c>
      <c r="N6" s="5">
        <v>458</v>
      </c>
      <c r="O6" s="45">
        <v>26489</v>
      </c>
      <c r="P6" s="5">
        <f>Table1[[#This Row],[Apr_Projected_Pay]]*0.08</f>
        <v>2119.12</v>
      </c>
      <c r="Q6" s="5">
        <f>Table1[[#This Row],[Apr_Projected_Pay]]*0.02</f>
        <v>529.78</v>
      </c>
      <c r="R6" s="5">
        <v>458</v>
      </c>
      <c r="S6" s="45">
        <v>21560</v>
      </c>
      <c r="T6" s="5">
        <f>Table1[[#This Row],[May_Projected_Pay]]*0.08</f>
        <v>1724.8</v>
      </c>
      <c r="U6" s="5">
        <f>Table1[[#This Row],[May_Projected_Pay]]*0.02</f>
        <v>431.2</v>
      </c>
      <c r="V6" s="5">
        <v>458</v>
      </c>
      <c r="W6" s="45">
        <v>24130</v>
      </c>
      <c r="X6" s="5">
        <f>Table1[[#This Row],[Jun_Projected_Pay]]*0.08</f>
        <v>1930.4</v>
      </c>
      <c r="Y6" s="5">
        <f>Table1[[#This Row],[Jun_Projected_Pay]]*0.02</f>
        <v>482.6</v>
      </c>
      <c r="Z6" s="5">
        <v>458</v>
      </c>
      <c r="AA6" s="45">
        <v>26321</v>
      </c>
      <c r="AB6" s="5">
        <f>Table1[[#This Row],[Jul_Projected_Pay]]*0.08</f>
        <v>2105.6799999999998</v>
      </c>
      <c r="AC6" s="5">
        <f>Table1[[#This Row],[Jul_Projected_Pay]]*0.02</f>
        <v>526.41999999999996</v>
      </c>
      <c r="AD6" s="5">
        <v>458</v>
      </c>
      <c r="AE6" s="45">
        <v>28322</v>
      </c>
      <c r="AF6" s="5">
        <f>Table1[[#This Row],[Aug_Projected_Pay]]*0.08</f>
        <v>2265.7600000000002</v>
      </c>
      <c r="AG6" s="5">
        <f>Table1[[#This Row],[Aug_Projected_Pay]]*0.02</f>
        <v>566.44000000000005</v>
      </c>
      <c r="AH6" s="5">
        <v>458</v>
      </c>
      <c r="AI6" s="45">
        <v>19159</v>
      </c>
      <c r="AJ6" s="5">
        <f>Table1[[#This Row],[Sep_Projected_Pay]]*0.08</f>
        <v>1532.72</v>
      </c>
      <c r="AK6" s="5">
        <f>Table1[[#This Row],[Sep_Projected_Pay]]*0.02</f>
        <v>383.18</v>
      </c>
      <c r="AL6" s="5">
        <v>458</v>
      </c>
      <c r="AM6" s="45">
        <v>20199.088166000001</v>
      </c>
      <c r="AN6" s="5">
        <f>Table1[[#This Row],[Oct_Projected_Pay]]*0.08</f>
        <v>1615.9270532800001</v>
      </c>
      <c r="AO6" s="5">
        <f>Table1[[#This Row],[Oct_Projected_Pay]]*0.02</f>
        <v>403.98176332000003</v>
      </c>
      <c r="AP6" s="5">
        <v>458</v>
      </c>
      <c r="AQ6" s="45">
        <v>6465.5583889999998</v>
      </c>
      <c r="AR6" s="5">
        <f>Table1[[#This Row],[Nov_Projected_Pay]]*0.08</f>
        <v>517.24467112000002</v>
      </c>
      <c r="AS6" s="5">
        <f>Table1[[#This Row],[Nov_Projected_Pay]]*0.02</f>
        <v>129.31116778000001</v>
      </c>
      <c r="AT6" s="5">
        <v>458</v>
      </c>
      <c r="AU6" s="45">
        <v>13624.93253</v>
      </c>
      <c r="AV6" s="5">
        <f>Table1[[#This Row],[Dec_Projected_Pay]]*0.08</f>
        <v>1089.9946024000001</v>
      </c>
      <c r="AW6" s="5">
        <f>Table1[[#This Row],[Dec_Projected_Pay]]*0.02</f>
        <v>272.49865060000002</v>
      </c>
      <c r="AX6" s="5">
        <v>458</v>
      </c>
      <c r="AY6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240583.38749600001</v>
      </c>
      <c r="AZ6" s="59">
        <f>D6+H6+L6+P6+T6+X6+AB6+AF6+AJ6+AN6+AR6+AV6</f>
        <v>19246.670999679998</v>
      </c>
      <c r="BA6" s="59">
        <f>E6+I6+M6+Q6+U6+Y6+AC6+AG6+AK6+AO6+AS6+AW6</f>
        <v>4811.6677499199996</v>
      </c>
      <c r="BB6" s="59">
        <f>F6+J6+N6+R6+V6+Z6+AD6+AH6+AL6+AP6+AT6+AX6</f>
        <v>5496</v>
      </c>
    </row>
    <row r="7" spans="1:54" x14ac:dyDescent="0.3">
      <c r="A7" s="30" t="s">
        <v>63</v>
      </c>
      <c r="B7" t="s">
        <v>62</v>
      </c>
      <c r="C7" s="46">
        <v>15240</v>
      </c>
      <c r="D7" s="5">
        <f>Table1[[#This Row],[Jan_Projected_Pay]]*0.08</f>
        <v>1219.2</v>
      </c>
      <c r="E7" s="5">
        <f>Table1[[#This Row],[Jan_Projected_Pay]]*0.02</f>
        <v>304.8</v>
      </c>
      <c r="F7" s="5">
        <v>458</v>
      </c>
      <c r="G7" s="45">
        <v>17180</v>
      </c>
      <c r="H7" s="5">
        <f>Table1[[#This Row],[Feb_Projected_Pay]]*0.08</f>
        <v>1374.4</v>
      </c>
      <c r="I7" s="5">
        <f>Table1[[#This Row],[Feb_Projected_Pay]]*0.02</f>
        <v>343.6</v>
      </c>
      <c r="J7" s="5">
        <v>458</v>
      </c>
      <c r="K7" s="45">
        <v>36840</v>
      </c>
      <c r="L7" s="5">
        <f>Table1[[#This Row],[Mar_Projected_Pay]]*0.08</f>
        <v>2947.2000000000003</v>
      </c>
      <c r="M7" s="5">
        <f>Table1[[#This Row],[Mar_Projected_Pay]]*0.02</f>
        <v>736.80000000000007</v>
      </c>
      <c r="N7" s="5">
        <v>458</v>
      </c>
      <c r="O7" s="45">
        <v>29850</v>
      </c>
      <c r="P7" s="5">
        <f>Table1[[#This Row],[Apr_Projected_Pay]]*0.08</f>
        <v>2388</v>
      </c>
      <c r="Q7" s="5">
        <f>Table1[[#This Row],[Apr_Projected_Pay]]*0.02</f>
        <v>597</v>
      </c>
      <c r="R7" s="5">
        <v>458</v>
      </c>
      <c r="S7" s="45">
        <v>41407.728529</v>
      </c>
      <c r="T7" s="5">
        <f>Table1[[#This Row],[May_Projected_Pay]]*0.08</f>
        <v>3312.6182823200002</v>
      </c>
      <c r="U7" s="5">
        <f>Table1[[#This Row],[May_Projected_Pay]]*0.02</f>
        <v>828.15457058000004</v>
      </c>
      <c r="V7" s="5">
        <v>458</v>
      </c>
      <c r="W7" s="45">
        <v>49502.245641000001</v>
      </c>
      <c r="X7" s="5">
        <f>Table1[[#This Row],[Jun_Projected_Pay]]*0.08</f>
        <v>3960.1796512800001</v>
      </c>
      <c r="Y7" s="5">
        <f>Table1[[#This Row],[Jun_Projected_Pay]]*0.02</f>
        <v>990.04491282000004</v>
      </c>
      <c r="Z7" s="5">
        <v>458</v>
      </c>
      <c r="AA7" s="45">
        <v>36459</v>
      </c>
      <c r="AB7" s="5">
        <f>Table1[[#This Row],[Jul_Projected_Pay]]*0.08</f>
        <v>2916.7200000000003</v>
      </c>
      <c r="AC7" s="5">
        <f>Table1[[#This Row],[Jul_Projected_Pay]]*0.02</f>
        <v>729.18000000000006</v>
      </c>
      <c r="AD7" s="5">
        <v>458</v>
      </c>
      <c r="AE7" s="45">
        <v>36587</v>
      </c>
      <c r="AF7" s="5">
        <f>Table1[[#This Row],[Aug_Projected_Pay]]*0.08</f>
        <v>2926.96</v>
      </c>
      <c r="AG7" s="5">
        <f>Table1[[#This Row],[Aug_Projected_Pay]]*0.02</f>
        <v>731.74</v>
      </c>
      <c r="AH7" s="5">
        <v>458</v>
      </c>
      <c r="AI7" s="45">
        <v>41225</v>
      </c>
      <c r="AJ7" s="5">
        <f>Table1[[#This Row],[Sep_Projected_Pay]]*0.08</f>
        <v>3298</v>
      </c>
      <c r="AK7" s="5">
        <f>Table1[[#This Row],[Sep_Projected_Pay]]*0.02</f>
        <v>824.5</v>
      </c>
      <c r="AL7" s="5">
        <v>458</v>
      </c>
      <c r="AM7" s="45">
        <v>42006.823347999998</v>
      </c>
      <c r="AN7" s="5">
        <f>Table1[[#This Row],[Oct_Projected_Pay]]*0.08</f>
        <v>3360.54586784</v>
      </c>
      <c r="AO7" s="5">
        <f>Table1[[#This Row],[Oct_Projected_Pay]]*0.02</f>
        <v>840.13646696000001</v>
      </c>
      <c r="AP7" s="5">
        <v>458</v>
      </c>
      <c r="AQ7" s="45">
        <v>7461.0331640000004</v>
      </c>
      <c r="AR7" s="5">
        <f>Table1[[#This Row],[Nov_Projected_Pay]]*0.08</f>
        <v>596.8826531200001</v>
      </c>
      <c r="AS7" s="5">
        <f>Table1[[#This Row],[Nov_Projected_Pay]]*0.02</f>
        <v>149.22066328000002</v>
      </c>
      <c r="AT7" s="5">
        <v>458</v>
      </c>
      <c r="AU7" s="45">
        <v>8315.7337279999992</v>
      </c>
      <c r="AV7" s="5">
        <f>Table1[[#This Row],[Dec_Projected_Pay]]*0.08</f>
        <v>665.25869823999994</v>
      </c>
      <c r="AW7" s="5">
        <f>Table1[[#This Row],[Dec_Projected_Pay]]*0.02</f>
        <v>166.31467455999999</v>
      </c>
      <c r="AX7" s="5">
        <v>458</v>
      </c>
      <c r="AY7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362074.56440999999</v>
      </c>
      <c r="AZ7" s="59">
        <f>D7+H7+L7+P7+T7+X7+AB7+AF7+AJ7+AN7+AR7+AV7</f>
        <v>28965.965152799999</v>
      </c>
      <c r="BA7" s="59">
        <f>E7+I7+M7+Q7+U7+Y7+AC7+AG7+AK7+AO7+AS7+AW7</f>
        <v>7241.4912881999999</v>
      </c>
      <c r="BB7" s="59">
        <f>F7+J7+N7+R7+V7+Z7+AD7+AH7+AL7+AP7+AT7+AX7</f>
        <v>5496</v>
      </c>
    </row>
    <row r="8" spans="1:54" x14ac:dyDescent="0.3">
      <c r="A8" t="s">
        <v>64</v>
      </c>
      <c r="B8" t="s">
        <v>62</v>
      </c>
      <c r="C8" s="46">
        <v>41365</v>
      </c>
      <c r="D8" s="5">
        <f>Table1[[#This Row],[Jan_Projected_Pay]]*0.08</f>
        <v>3309.2000000000003</v>
      </c>
      <c r="E8" s="5">
        <f>Table1[[#This Row],[Jan_Projected_Pay]]*0.02</f>
        <v>827.30000000000007</v>
      </c>
      <c r="F8" s="5">
        <v>458</v>
      </c>
      <c r="G8" s="45">
        <v>30971</v>
      </c>
      <c r="H8" s="5">
        <f>Table1[[#This Row],[Feb_Projected_Pay]]*0.08</f>
        <v>2477.6799999999998</v>
      </c>
      <c r="I8" s="5">
        <f>Table1[[#This Row],[Feb_Projected_Pay]]*0.02</f>
        <v>619.41999999999996</v>
      </c>
      <c r="J8" s="5">
        <v>458</v>
      </c>
      <c r="K8" s="45">
        <v>28351</v>
      </c>
      <c r="L8" s="5">
        <f>Table1[[#This Row],[Mar_Projected_Pay]]*0.08</f>
        <v>2268.08</v>
      </c>
      <c r="M8" s="5">
        <f>Table1[[#This Row],[Mar_Projected_Pay]]*0.02</f>
        <v>567.02</v>
      </c>
      <c r="N8" s="5">
        <v>458</v>
      </c>
      <c r="O8" s="45">
        <v>64085</v>
      </c>
      <c r="P8" s="5">
        <f>Table1[[#This Row],[Apr_Projected_Pay]]*0.08</f>
        <v>5126.8</v>
      </c>
      <c r="Q8" s="5">
        <f>Table1[[#This Row],[Apr_Projected_Pay]]*0.02</f>
        <v>1281.7</v>
      </c>
      <c r="R8" s="5">
        <v>458</v>
      </c>
      <c r="S8" s="45">
        <v>36841</v>
      </c>
      <c r="T8" s="5">
        <f>Table1[[#This Row],[May_Projected_Pay]]*0.08</f>
        <v>2947.28</v>
      </c>
      <c r="U8" s="5">
        <f>Table1[[#This Row],[May_Projected_Pay]]*0.02</f>
        <v>736.82</v>
      </c>
      <c r="V8" s="5">
        <v>458</v>
      </c>
      <c r="W8" s="45">
        <v>23827</v>
      </c>
      <c r="X8" s="5">
        <f>Table1[[#This Row],[Jun_Projected_Pay]]*0.08</f>
        <v>1906.16</v>
      </c>
      <c r="Y8" s="5">
        <f>Table1[[#This Row],[Jun_Projected_Pay]]*0.02</f>
        <v>476.54</v>
      </c>
      <c r="Z8" s="5">
        <v>458</v>
      </c>
      <c r="AA8" s="45">
        <v>53719</v>
      </c>
      <c r="AB8" s="5">
        <f>Table1[[#This Row],[Jul_Projected_Pay]]*0.08</f>
        <v>4297.5200000000004</v>
      </c>
      <c r="AC8" s="5">
        <f>Table1[[#This Row],[Jul_Projected_Pay]]*0.02</f>
        <v>1074.3800000000001</v>
      </c>
      <c r="AD8" s="5">
        <v>458</v>
      </c>
      <c r="AE8" s="45">
        <v>68287</v>
      </c>
      <c r="AF8" s="5">
        <f>Table1[[#This Row],[Aug_Projected_Pay]]*0.08</f>
        <v>5462.96</v>
      </c>
      <c r="AG8" s="5">
        <f>Table1[[#This Row],[Aug_Projected_Pay]]*0.02</f>
        <v>1365.74</v>
      </c>
      <c r="AH8" s="5">
        <v>458</v>
      </c>
      <c r="AI8" s="45">
        <v>36320</v>
      </c>
      <c r="AJ8" s="5">
        <f>Table1[[#This Row],[Sep_Projected_Pay]]*0.08</f>
        <v>2905.6</v>
      </c>
      <c r="AK8" s="5">
        <f>Table1[[#This Row],[Sep_Projected_Pay]]*0.02</f>
        <v>726.4</v>
      </c>
      <c r="AL8" s="5">
        <v>458</v>
      </c>
      <c r="AM8" s="45">
        <v>46817</v>
      </c>
      <c r="AN8" s="5">
        <f>Table1[[#This Row],[Oct_Projected_Pay]]*0.08</f>
        <v>3745.36</v>
      </c>
      <c r="AO8" s="5">
        <f>Table1[[#This Row],[Oct_Projected_Pay]]*0.02</f>
        <v>936.34</v>
      </c>
      <c r="AP8" s="5">
        <v>458</v>
      </c>
      <c r="AQ8" s="45">
        <v>14127.697568</v>
      </c>
      <c r="AR8" s="5">
        <f>Table1[[#This Row],[Nov_Projected_Pay]]*0.08</f>
        <v>1130.2158054399999</v>
      </c>
      <c r="AS8" s="5">
        <f>Table1[[#This Row],[Nov_Projected_Pay]]*0.02</f>
        <v>282.55395135999999</v>
      </c>
      <c r="AT8" s="5">
        <v>458</v>
      </c>
      <c r="AU8" s="45">
        <v>8868.7752700000001</v>
      </c>
      <c r="AV8" s="5">
        <f>Table1[[#This Row],[Dec_Projected_Pay]]*0.08</f>
        <v>709.50202160000003</v>
      </c>
      <c r="AW8" s="5">
        <f>Table1[[#This Row],[Dec_Projected_Pay]]*0.02</f>
        <v>177.37550540000001</v>
      </c>
      <c r="AX8" s="5">
        <v>458</v>
      </c>
      <c r="AY8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453579.47283799999</v>
      </c>
      <c r="AZ8" s="59">
        <f>D8+H8+L8+P8+T8+X8+AB8+AF8+AJ8+AN8+AR8+AV8</f>
        <v>36286.357827039996</v>
      </c>
      <c r="BA8" s="59">
        <f>E8+I8+M8+Q8+U8+Y8+AC8+AG8+AK8+AO8+AS8+AW8</f>
        <v>9071.5894567599989</v>
      </c>
      <c r="BB8" s="59">
        <f>F8+J8+N8+R8+V8+Z8+AD8+AH8+AL8+AP8+AT8+AX8</f>
        <v>5496</v>
      </c>
    </row>
    <row r="9" spans="1:54" x14ac:dyDescent="0.3">
      <c r="A9" s="7" t="s">
        <v>65</v>
      </c>
      <c r="B9" t="s">
        <v>62</v>
      </c>
      <c r="C9" s="46">
        <v>9125</v>
      </c>
      <c r="D9" s="5">
        <f>Table1[[#This Row],[Jan_Projected_Pay]]*0.08</f>
        <v>730</v>
      </c>
      <c r="E9" s="5">
        <f>Table1[[#This Row],[Jan_Projected_Pay]]*0.02</f>
        <v>182.5</v>
      </c>
      <c r="F9" s="5">
        <v>600</v>
      </c>
      <c r="G9" s="45">
        <v>15870</v>
      </c>
      <c r="H9" s="5">
        <f>Table1[[#This Row],[Feb_Projected_Pay]]*0.08</f>
        <v>1269.6000000000001</v>
      </c>
      <c r="I9" s="5">
        <f>Table1[[#This Row],[Feb_Projected_Pay]]*0.02</f>
        <v>317.40000000000003</v>
      </c>
      <c r="J9" s="5">
        <v>600</v>
      </c>
      <c r="K9" s="45">
        <v>45042.719753999998</v>
      </c>
      <c r="L9" s="5">
        <f>Table1[[#This Row],[Mar_Projected_Pay]]*0.08</f>
        <v>3603.4175803200001</v>
      </c>
      <c r="M9" s="5">
        <f>Table1[[#This Row],[Mar_Projected_Pay]]*0.02</f>
        <v>900.85439508000002</v>
      </c>
      <c r="N9" s="5">
        <v>600</v>
      </c>
      <c r="O9" s="45">
        <v>42654.585823000001</v>
      </c>
      <c r="P9" s="5">
        <f>Table1[[#This Row],[Apr_Projected_Pay]]*0.08</f>
        <v>3412.3668658400002</v>
      </c>
      <c r="Q9" s="5">
        <f>Table1[[#This Row],[Apr_Projected_Pay]]*0.02</f>
        <v>853.09171646000004</v>
      </c>
      <c r="R9" s="5">
        <v>600</v>
      </c>
      <c r="S9" s="45">
        <v>28762</v>
      </c>
      <c r="T9" s="5">
        <f>Table1[[#This Row],[May_Projected_Pay]]*0.08</f>
        <v>2300.96</v>
      </c>
      <c r="U9" s="5">
        <f>Table1[[#This Row],[May_Projected_Pay]]*0.02</f>
        <v>575.24</v>
      </c>
      <c r="V9" s="5">
        <v>600</v>
      </c>
      <c r="W9" s="45">
        <v>49652.069622000003</v>
      </c>
      <c r="X9" s="5">
        <f>Table1[[#This Row],[Jun_Projected_Pay]]*0.08</f>
        <v>3972.1655697600004</v>
      </c>
      <c r="Y9" s="5">
        <f>Table1[[#This Row],[Jun_Projected_Pay]]*0.02</f>
        <v>993.0413924400001</v>
      </c>
      <c r="Z9" s="5">
        <v>600</v>
      </c>
      <c r="AA9" s="45">
        <v>38520</v>
      </c>
      <c r="AB9" s="5">
        <f>Table1[[#This Row],[Jul_Projected_Pay]]*0.08</f>
        <v>3081.6</v>
      </c>
      <c r="AC9" s="5">
        <f>Table1[[#This Row],[Jul_Projected_Pay]]*0.02</f>
        <v>770.4</v>
      </c>
      <c r="AD9" s="5">
        <v>600</v>
      </c>
      <c r="AE9" s="45">
        <v>35214</v>
      </c>
      <c r="AF9" s="5">
        <f>Table1[[#This Row],[Aug_Projected_Pay]]*0.08</f>
        <v>2817.12</v>
      </c>
      <c r="AG9" s="5">
        <f>Table1[[#This Row],[Aug_Projected_Pay]]*0.02</f>
        <v>704.28</v>
      </c>
      <c r="AH9" s="5">
        <v>600</v>
      </c>
      <c r="AI9" s="45">
        <v>43800.89011</v>
      </c>
      <c r="AJ9" s="5">
        <f>Table1[[#This Row],[Sep_Projected_Pay]]*0.08</f>
        <v>3504.0712088</v>
      </c>
      <c r="AK9" s="5">
        <f>Table1[[#This Row],[Sep_Projected_Pay]]*0.02</f>
        <v>876.01780220000001</v>
      </c>
      <c r="AL9" s="5">
        <v>600</v>
      </c>
      <c r="AM9" s="45">
        <v>28212</v>
      </c>
      <c r="AN9" s="5">
        <f>Table1[[#This Row],[Oct_Projected_Pay]]*0.08</f>
        <v>2256.96</v>
      </c>
      <c r="AO9" s="5">
        <f>Table1[[#This Row],[Oct_Projected_Pay]]*0.02</f>
        <v>564.24</v>
      </c>
      <c r="AP9" s="5">
        <v>600</v>
      </c>
      <c r="AQ9" s="45">
        <v>29663.137242000001</v>
      </c>
      <c r="AR9" s="5">
        <f>Table1[[#This Row],[Nov_Projected_Pay]]*0.08</f>
        <v>2373.0509793599999</v>
      </c>
      <c r="AS9" s="5">
        <f>Table1[[#This Row],[Nov_Projected_Pay]]*0.02</f>
        <v>593.26274483999998</v>
      </c>
      <c r="AT9" s="5">
        <v>600</v>
      </c>
      <c r="AU9" s="45">
        <v>25360</v>
      </c>
      <c r="AV9" s="5">
        <f>Table1[[#This Row],[Dec_Projected_Pay]]*0.08</f>
        <v>2028.8</v>
      </c>
      <c r="AW9" s="5">
        <f>Table1[[#This Row],[Dec_Projected_Pay]]*0.02</f>
        <v>507.2</v>
      </c>
      <c r="AX9" s="5">
        <v>600</v>
      </c>
      <c r="AY9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391876.40255100001</v>
      </c>
      <c r="AZ9" s="59">
        <f>D9+H9+L9+P9+T9+X9+AB9+AF9+AJ9+AN9+AR9+AV9</f>
        <v>31350.112204079996</v>
      </c>
      <c r="BA9" s="59">
        <f>E9+I9+M9+Q9+U9+Y9+AC9+AG9+AK9+AO9+AS9+AW9</f>
        <v>7837.5280510199991</v>
      </c>
      <c r="BB9" s="59">
        <f>F9+J9+N9+R9+V9+Z9+AD9+AH9+AL9+AP9+AT9+AX9</f>
        <v>7200</v>
      </c>
    </row>
    <row r="10" spans="1:54" x14ac:dyDescent="0.3">
      <c r="A10" t="s">
        <v>66</v>
      </c>
      <c r="B10" t="s">
        <v>62</v>
      </c>
      <c r="C10" s="46">
        <v>19223</v>
      </c>
      <c r="D10" s="5">
        <f>Table1[[#This Row],[Jan_Projected_Pay]]*0.08</f>
        <v>1537.8400000000001</v>
      </c>
      <c r="E10" s="5">
        <f>Table1[[#This Row],[Jan_Projected_Pay]]*0.02</f>
        <v>384.46000000000004</v>
      </c>
      <c r="F10" s="5">
        <v>600</v>
      </c>
      <c r="G10" s="45">
        <v>14265</v>
      </c>
      <c r="H10" s="5">
        <f>Table1[[#This Row],[Feb_Projected_Pay]]*0.08</f>
        <v>1141.2</v>
      </c>
      <c r="I10" s="5">
        <f>Table1[[#This Row],[Feb_Projected_Pay]]*0.02</f>
        <v>285.3</v>
      </c>
      <c r="J10" s="5">
        <v>600</v>
      </c>
      <c r="K10" s="45">
        <v>19312</v>
      </c>
      <c r="L10" s="5">
        <f>Table1[[#This Row],[Mar_Projected_Pay]]*0.08</f>
        <v>1544.96</v>
      </c>
      <c r="M10" s="5">
        <f>Table1[[#This Row],[Mar_Projected_Pay]]*0.02</f>
        <v>386.24</v>
      </c>
      <c r="N10" s="5">
        <v>600</v>
      </c>
      <c r="O10" s="45">
        <v>24076</v>
      </c>
      <c r="P10" s="5">
        <f>Table1[[#This Row],[Apr_Projected_Pay]]*0.08</f>
        <v>1926.08</v>
      </c>
      <c r="Q10" s="5">
        <v>600</v>
      </c>
      <c r="R10" s="5">
        <v>600</v>
      </c>
      <c r="S10" s="45">
        <v>26579</v>
      </c>
      <c r="T10" s="5">
        <f>Table1[[#This Row],[May_Projected_Pay]]*0.08</f>
        <v>2126.3200000000002</v>
      </c>
      <c r="U10" s="5">
        <f>Table1[[#This Row],[May_Projected_Pay]]*0.02</f>
        <v>531.58000000000004</v>
      </c>
      <c r="V10" s="5">
        <v>600</v>
      </c>
      <c r="W10" s="45">
        <v>16658.214556999999</v>
      </c>
      <c r="X10" s="5">
        <f>Table1[[#This Row],[Jun_Projected_Pay]]*0.08</f>
        <v>1332.65716456</v>
      </c>
      <c r="Y10" s="5">
        <f>Table1[[#This Row],[Jun_Projected_Pay]]*0.02</f>
        <v>333.16429113999999</v>
      </c>
      <c r="Z10" s="5">
        <v>600</v>
      </c>
      <c r="AA10" s="45">
        <v>34816.297886</v>
      </c>
      <c r="AB10" s="5">
        <f>Table1[[#This Row],[Jul_Projected_Pay]]*0.08</f>
        <v>2785.3038308800001</v>
      </c>
      <c r="AC10" s="5">
        <f>Table1[[#This Row],[Jul_Projected_Pay]]*0.02</f>
        <v>696.32595772000002</v>
      </c>
      <c r="AD10" s="5">
        <v>600</v>
      </c>
      <c r="AE10" s="45">
        <v>22873.898722000002</v>
      </c>
      <c r="AF10" s="5">
        <f>Table1[[#This Row],[Aug_Projected_Pay]]*0.08</f>
        <v>1829.9118977600001</v>
      </c>
      <c r="AG10" s="5">
        <f>Table1[[#This Row],[Aug_Projected_Pay]]*0.02</f>
        <v>457.47797444000003</v>
      </c>
      <c r="AH10" s="5">
        <v>600</v>
      </c>
      <c r="AI10" s="45">
        <v>45298</v>
      </c>
      <c r="AJ10" s="5">
        <f>Table1[[#This Row],[Sep_Projected_Pay]]*0.08</f>
        <v>3623.84</v>
      </c>
      <c r="AK10" s="5">
        <f>Table1[[#This Row],[Sep_Projected_Pay]]*0.02</f>
        <v>905.96</v>
      </c>
      <c r="AL10" s="5">
        <v>600</v>
      </c>
      <c r="AM10" s="45">
        <v>19254</v>
      </c>
      <c r="AN10" s="5">
        <f>Table1[[#This Row],[Oct_Projected_Pay]]*0.08</f>
        <v>1540.32</v>
      </c>
      <c r="AO10" s="5">
        <f>Table1[[#This Row],[Oct_Projected_Pay]]*0.02</f>
        <v>385.08</v>
      </c>
      <c r="AP10" s="5">
        <v>600</v>
      </c>
      <c r="AQ10" s="45">
        <v>15865</v>
      </c>
      <c r="AR10" s="5">
        <f>Table1[[#This Row],[Nov_Projected_Pay]]*0.08</f>
        <v>1269.2</v>
      </c>
      <c r="AS10" s="5">
        <f>Table1[[#This Row],[Nov_Projected_Pay]]*0.02</f>
        <v>317.3</v>
      </c>
      <c r="AT10" s="5">
        <v>600</v>
      </c>
      <c r="AU10" s="45">
        <v>26874</v>
      </c>
      <c r="AV10" s="5">
        <f>Table1[[#This Row],[Dec_Projected_Pay]]*0.08</f>
        <v>2149.92</v>
      </c>
      <c r="AW10" s="5">
        <f>Table1[[#This Row],[Dec_Projected_Pay]]*0.02</f>
        <v>537.48</v>
      </c>
      <c r="AX10" s="5">
        <v>600</v>
      </c>
      <c r="AY10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285094.411165</v>
      </c>
      <c r="AZ10" s="59">
        <f>D10+H10+L10+P10+T10+X10+AB10+AF10+AJ10+AN10+AR10+AV10</f>
        <v>22807.552893200002</v>
      </c>
      <c r="BA10" s="59">
        <f>E10+I10+M10+Q10+U10+Y10+AC10+AG10+AK10+AO10+AS10+AW10</f>
        <v>5820.3682233</v>
      </c>
      <c r="BB10" s="59">
        <f>F10+J10+N10+R10+V10+Z10+AD10+AH10+AL10+AP10+AT10+AX10</f>
        <v>7200</v>
      </c>
    </row>
    <row r="11" spans="1:54" x14ac:dyDescent="0.3">
      <c r="A11" t="s">
        <v>68</v>
      </c>
      <c r="B11" t="s">
        <v>62</v>
      </c>
      <c r="C11" s="46">
        <v>11327</v>
      </c>
      <c r="D11" s="5">
        <f>Table1[[#This Row],[Jan_Projected_Pay]]*0.08</f>
        <v>906.16</v>
      </c>
      <c r="E11" s="5">
        <f>Table1[[#This Row],[Jan_Projected_Pay]]*0.02</f>
        <v>226.54</v>
      </c>
      <c r="F11" s="5">
        <v>600</v>
      </c>
      <c r="G11" s="45">
        <v>12652</v>
      </c>
      <c r="H11" s="5">
        <f>Table1[[#This Row],[Feb_Projected_Pay]]*0.08</f>
        <v>1012.16</v>
      </c>
      <c r="I11" s="5">
        <f>Table1[[#This Row],[Feb_Projected_Pay]]*0.02</f>
        <v>253.04</v>
      </c>
      <c r="J11" s="5">
        <v>600</v>
      </c>
      <c r="K11" s="45">
        <v>18265</v>
      </c>
      <c r="L11" s="5">
        <f>Table1[[#This Row],[Mar_Projected_Pay]]*0.08</f>
        <v>1461.2</v>
      </c>
      <c r="M11" s="5">
        <f>Table1[[#This Row],[Mar_Projected_Pay]]*0.02</f>
        <v>365.3</v>
      </c>
      <c r="N11" s="5">
        <v>600</v>
      </c>
      <c r="O11" s="45">
        <v>21326</v>
      </c>
      <c r="P11" s="5">
        <f>Table1[[#This Row],[Apr_Projected_Pay]]*0.08</f>
        <v>1706.08</v>
      </c>
      <c r="Q11" s="5">
        <f>Table1[[#This Row],[Apr_Projected_Pay]]*0.02</f>
        <v>426.52</v>
      </c>
      <c r="R11" s="5">
        <v>600</v>
      </c>
      <c r="S11" s="45">
        <v>26584</v>
      </c>
      <c r="T11" s="5">
        <f>Table1[[#This Row],[May_Projected_Pay]]*0.08</f>
        <v>2126.7200000000003</v>
      </c>
      <c r="U11" s="5">
        <f>Table1[[#This Row],[May_Projected_Pay]]*0.02</f>
        <v>531.68000000000006</v>
      </c>
      <c r="V11" s="5">
        <v>600</v>
      </c>
      <c r="W11" s="45">
        <v>31320</v>
      </c>
      <c r="X11" s="5">
        <f>Table1[[#This Row],[Jun_Projected_Pay]]*0.08</f>
        <v>2505.6</v>
      </c>
      <c r="Y11" s="5">
        <f>Table1[[#This Row],[Jun_Projected_Pay]]*0.02</f>
        <v>626.4</v>
      </c>
      <c r="Z11" s="5">
        <v>600</v>
      </c>
      <c r="AA11" s="45">
        <v>29526</v>
      </c>
      <c r="AB11" s="5">
        <f>Table1[[#This Row],[Jul_Projected_Pay]]*0.08</f>
        <v>2362.08</v>
      </c>
      <c r="AC11" s="5">
        <f>Table1[[#This Row],[Jul_Projected_Pay]]*0.02</f>
        <v>590.52</v>
      </c>
      <c r="AD11" s="5">
        <v>600</v>
      </c>
      <c r="AE11" s="45">
        <v>37247.951158000003</v>
      </c>
      <c r="AF11" s="5">
        <f>Table1[[#This Row],[Aug_Projected_Pay]]*0.08</f>
        <v>2979.8360926400005</v>
      </c>
      <c r="AG11" s="5">
        <f>Table1[[#This Row],[Aug_Projected_Pay]]*0.02</f>
        <v>744.95902316000013</v>
      </c>
      <c r="AH11" s="5">
        <v>600</v>
      </c>
      <c r="AI11" s="45">
        <v>15260</v>
      </c>
      <c r="AJ11" s="5">
        <f>Table1[[#This Row],[Sep_Projected_Pay]]*0.08</f>
        <v>1220.8</v>
      </c>
      <c r="AK11" s="5">
        <f>Table1[[#This Row],[Sep_Projected_Pay]]*0.02</f>
        <v>305.2</v>
      </c>
      <c r="AL11" s="5">
        <v>600</v>
      </c>
      <c r="AM11" s="45">
        <v>17820</v>
      </c>
      <c r="AN11" s="5">
        <f>Table1[[#This Row],[Oct_Projected_Pay]]*0.08</f>
        <v>1425.6000000000001</v>
      </c>
      <c r="AO11" s="5">
        <f>Table1[[#This Row],[Oct_Projected_Pay]]*0.02</f>
        <v>356.40000000000003</v>
      </c>
      <c r="AP11" s="5">
        <v>600</v>
      </c>
      <c r="AQ11" s="45">
        <v>20207.862386444449</v>
      </c>
      <c r="AR11" s="5">
        <f>Table1[[#This Row],[Nov_Projected_Pay]]*0.08</f>
        <v>1616.628990915556</v>
      </c>
      <c r="AS11" s="5">
        <f>Table1[[#This Row],[Nov_Projected_Pay]]*0.02</f>
        <v>404.15724772888899</v>
      </c>
      <c r="AT11" s="5">
        <v>600</v>
      </c>
      <c r="AU11" s="45">
        <v>5026.7051819999997</v>
      </c>
      <c r="AV11" s="5">
        <f>Table1[[#This Row],[Dec_Projected_Pay]]*0.08</f>
        <v>402.13641455999999</v>
      </c>
      <c r="AW11" s="5">
        <f>Table1[[#This Row],[Dec_Projected_Pay]]*0.02</f>
        <v>100.53410364</v>
      </c>
      <c r="AX11" s="5">
        <v>600</v>
      </c>
      <c r="AY11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246562.51872644445</v>
      </c>
      <c r="AZ11" s="59">
        <f>D11+H11+L11+P11+T11+X11+AB11+AF11+AJ11+AN11+AR11+AV11</f>
        <v>19725.001498115555</v>
      </c>
      <c r="BA11" s="59">
        <f>E11+I11+M11+Q11+U11+Y11+AC11+AG11+AK11+AO11+AS11+AW11</f>
        <v>4931.2503745288886</v>
      </c>
      <c r="BB11" s="59">
        <f>F11+J11+N11+R11+V11+Z11+AD11+AH11+AL11+AP11+AT11+AX11</f>
        <v>7200</v>
      </c>
    </row>
    <row r="12" spans="1:54" x14ac:dyDescent="0.3">
      <c r="A12" t="s">
        <v>69</v>
      </c>
      <c r="B12" t="s">
        <v>62</v>
      </c>
      <c r="C12" s="46">
        <v>2803</v>
      </c>
      <c r="D12" s="5">
        <f>Table1[[#This Row],[Jan_Projected_Pay]]*0.08</f>
        <v>224.24</v>
      </c>
      <c r="E12" s="5">
        <f>Table1[[#This Row],[Jan_Projected_Pay]]*0.02</f>
        <v>56.06</v>
      </c>
      <c r="F12" s="5">
        <v>600</v>
      </c>
      <c r="G12" s="45">
        <v>3205</v>
      </c>
      <c r="H12" s="5">
        <f>Table1[[#This Row],[Feb_Projected_Pay]]*0.08</f>
        <v>256.39999999999998</v>
      </c>
      <c r="I12" s="5">
        <f>Table1[[#This Row],[Feb_Projected_Pay]]*0.02</f>
        <v>64.099999999999994</v>
      </c>
      <c r="J12" s="5">
        <v>600</v>
      </c>
      <c r="K12" s="45">
        <v>11196</v>
      </c>
      <c r="L12" s="5">
        <f>Table1[[#This Row],[Mar_Projected_Pay]]*0.08</f>
        <v>895.68000000000006</v>
      </c>
      <c r="M12" s="5">
        <f>Table1[[#This Row],[Mar_Projected_Pay]]*0.02</f>
        <v>223.92000000000002</v>
      </c>
      <c r="N12" s="5">
        <v>600</v>
      </c>
      <c r="O12" s="45">
        <v>34459</v>
      </c>
      <c r="P12" s="5">
        <f>Table1[[#This Row],[Apr_Projected_Pay]]*0.08</f>
        <v>2756.7200000000003</v>
      </c>
      <c r="Q12" s="5">
        <f>Table1[[#This Row],[Apr_Projected_Pay]]*0.02</f>
        <v>689.18000000000006</v>
      </c>
      <c r="R12" s="5">
        <v>600</v>
      </c>
      <c r="S12" s="45">
        <v>16249</v>
      </c>
      <c r="T12" s="5">
        <f>Table1[[#This Row],[May_Projected_Pay]]*0.08</f>
        <v>1299.92</v>
      </c>
      <c r="U12" s="5">
        <f>Table1[[#This Row],[May_Projected_Pay]]*0.02</f>
        <v>324.98</v>
      </c>
      <c r="V12" s="5">
        <v>600</v>
      </c>
      <c r="W12" s="45">
        <v>37445</v>
      </c>
      <c r="X12" s="5">
        <f>Table1[[#This Row],[Jun_Projected_Pay]]*0.08</f>
        <v>2995.6</v>
      </c>
      <c r="Y12" s="5">
        <f>Table1[[#This Row],[Jun_Projected_Pay]]*0.02</f>
        <v>748.9</v>
      </c>
      <c r="Z12" s="5">
        <v>600</v>
      </c>
      <c r="AA12" s="45">
        <v>22775</v>
      </c>
      <c r="AB12" s="5">
        <f>Table1[[#This Row],[Jul_Projected_Pay]]*0.08</f>
        <v>1822</v>
      </c>
      <c r="AC12" s="5">
        <f>Table1[[#This Row],[Jul_Projected_Pay]]*0.02</f>
        <v>455.5</v>
      </c>
      <c r="AD12" s="5">
        <v>600</v>
      </c>
      <c r="AE12" s="45">
        <v>13495</v>
      </c>
      <c r="AF12" s="5">
        <f>Table1[[#This Row],[Aug_Projected_Pay]]*0.08</f>
        <v>1079.5999999999999</v>
      </c>
      <c r="AG12" s="5">
        <f>Table1[[#This Row],[Aug_Projected_Pay]]*0.02</f>
        <v>269.89999999999998</v>
      </c>
      <c r="AH12" s="5">
        <v>600</v>
      </c>
      <c r="AI12" s="45">
        <v>34573</v>
      </c>
      <c r="AJ12" s="5">
        <f>Table1[[#This Row],[Sep_Projected_Pay]]*0.08</f>
        <v>2765.84</v>
      </c>
      <c r="AK12" s="5">
        <f>Table1[[#This Row],[Sep_Projected_Pay]]*0.02</f>
        <v>691.46</v>
      </c>
      <c r="AL12" s="5">
        <v>600</v>
      </c>
      <c r="AM12" s="45">
        <v>16814</v>
      </c>
      <c r="AN12" s="5">
        <f>Table1[[#This Row],[Oct_Projected_Pay]]*0.08</f>
        <v>1345.1200000000001</v>
      </c>
      <c r="AO12" s="5">
        <f>Table1[[#This Row],[Oct_Projected_Pay]]*0.02</f>
        <v>336.28000000000003</v>
      </c>
      <c r="AP12" s="5">
        <v>600</v>
      </c>
      <c r="AQ12" s="45">
        <v>15740.065044000001</v>
      </c>
      <c r="AR12" s="5">
        <f>Table1[[#This Row],[Nov_Projected_Pay]]*0.08</f>
        <v>1259.2052035200002</v>
      </c>
      <c r="AS12" s="5">
        <f>Table1[[#This Row],[Nov_Projected_Pay]]*0.02</f>
        <v>314.80130088000004</v>
      </c>
      <c r="AT12" s="5">
        <v>600</v>
      </c>
      <c r="AU12" s="45">
        <v>18823.523022000001</v>
      </c>
      <c r="AV12" s="5">
        <f>Table1[[#This Row],[Dec_Projected_Pay]]*0.08</f>
        <v>1505.88184176</v>
      </c>
      <c r="AW12" s="5">
        <f>Table1[[#This Row],[Dec_Projected_Pay]]*0.02</f>
        <v>376.47046044000001</v>
      </c>
      <c r="AX12" s="5">
        <v>600</v>
      </c>
      <c r="AY12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227577.588066</v>
      </c>
      <c r="AZ12" s="59">
        <f>D12+H12+L12+P12+T12+X12+AB12+AF12+AJ12+AN12+AR12+AV12</f>
        <v>18206.207045280004</v>
      </c>
      <c r="BA12" s="59">
        <f>E12+I12+M12+Q12+U12+Y12+AC12+AG12+AK12+AO12+AS12+AW12</f>
        <v>4551.5517613200009</v>
      </c>
      <c r="BB12" s="59">
        <f>F12+J12+N12+R12+V12+Z12+AD12+AH12+AL12+AP12+AT12+AX12</f>
        <v>7200</v>
      </c>
    </row>
    <row r="13" spans="1:54" x14ac:dyDescent="0.3">
      <c r="A13" s="30" t="s">
        <v>70</v>
      </c>
      <c r="B13" t="s">
        <v>62</v>
      </c>
      <c r="C13" s="46">
        <v>15872</v>
      </c>
      <c r="D13" s="5">
        <f>Table1[[#This Row],[Jan_Projected_Pay]]*0.08</f>
        <v>1269.76</v>
      </c>
      <c r="E13" s="5">
        <f>Table1[[#This Row],[Jan_Projected_Pay]]*0.02</f>
        <v>317.44</v>
      </c>
      <c r="F13" s="5">
        <v>600</v>
      </c>
      <c r="G13" s="45">
        <v>12839</v>
      </c>
      <c r="H13" s="5">
        <f>Table1[[#This Row],[Feb_Projected_Pay]]*0.08</f>
        <v>1027.1200000000001</v>
      </c>
      <c r="I13" s="5">
        <f>Table1[[#This Row],[Feb_Projected_Pay]]*0.02</f>
        <v>256.78000000000003</v>
      </c>
      <c r="J13" s="5">
        <v>600</v>
      </c>
      <c r="K13" s="45">
        <v>22201</v>
      </c>
      <c r="L13" s="5">
        <f>Table1[[#This Row],[Mar_Projected_Pay]]*0.08</f>
        <v>1776.08</v>
      </c>
      <c r="M13" s="5">
        <f>Table1[[#This Row],[Mar_Projected_Pay]]*0.02</f>
        <v>444.02</v>
      </c>
      <c r="N13" s="5">
        <v>600</v>
      </c>
      <c r="O13" s="45">
        <v>30720</v>
      </c>
      <c r="P13" s="5">
        <f>Table1[[#This Row],[Apr_Projected_Pay]]*0.08</f>
        <v>2457.6</v>
      </c>
      <c r="Q13" s="5">
        <f>Table1[[#This Row],[Apr_Projected_Pay]]*0.02</f>
        <v>614.4</v>
      </c>
      <c r="R13" s="5">
        <v>600</v>
      </c>
      <c r="S13" s="45">
        <v>19852</v>
      </c>
      <c r="T13" s="5">
        <f>Table1[[#This Row],[May_Projected_Pay]]*0.08</f>
        <v>1588.16</v>
      </c>
      <c r="U13" s="5">
        <f>Table1[[#This Row],[May_Projected_Pay]]*0.02</f>
        <v>397.04</v>
      </c>
      <c r="V13" s="5">
        <v>600</v>
      </c>
      <c r="W13" s="45">
        <v>17948.711856000002</v>
      </c>
      <c r="X13" s="5">
        <f>Table1[[#This Row],[Jun_Projected_Pay]]*0.08</f>
        <v>1435.8969484800002</v>
      </c>
      <c r="Y13" s="5">
        <f>Table1[[#This Row],[Jun_Projected_Pay]]*0.02</f>
        <v>358.97423712000005</v>
      </c>
      <c r="Z13" s="5">
        <v>600</v>
      </c>
      <c r="AA13" s="45">
        <v>27018.593142000002</v>
      </c>
      <c r="AB13" s="5">
        <f>Table1[[#This Row],[Jul_Projected_Pay]]*0.08</f>
        <v>2161.4874513600003</v>
      </c>
      <c r="AC13" s="5">
        <f>Table1[[#This Row],[Jul_Projected_Pay]]*0.02</f>
        <v>540.37186284000006</v>
      </c>
      <c r="AD13" s="5">
        <v>600</v>
      </c>
      <c r="AE13" s="45">
        <v>7016.8905290000002</v>
      </c>
      <c r="AF13" s="5">
        <f>Table1[[#This Row],[Aug_Projected_Pay]]*0.08</f>
        <v>561.35124231999998</v>
      </c>
      <c r="AG13" s="5">
        <f>Table1[[#This Row],[Aug_Projected_Pay]]*0.02</f>
        <v>140.33781058</v>
      </c>
      <c r="AH13" s="5">
        <v>600</v>
      </c>
      <c r="AI13" s="45">
        <v>21226.739903999998</v>
      </c>
      <c r="AJ13" s="5">
        <f>Table1[[#This Row],[Sep_Projected_Pay]]*0.08</f>
        <v>1698.1391923199999</v>
      </c>
      <c r="AK13" s="5">
        <f>Table1[[#This Row],[Sep_Projected_Pay]]*0.02</f>
        <v>424.53479807999997</v>
      </c>
      <c r="AL13" s="5">
        <v>600</v>
      </c>
      <c r="AM13" s="45">
        <v>12368.019935</v>
      </c>
      <c r="AN13" s="5">
        <f>Table1[[#This Row],[Oct_Projected_Pay]]*0.08</f>
        <v>989.44159480000008</v>
      </c>
      <c r="AO13" s="5">
        <f>Table1[[#This Row],[Oct_Projected_Pay]]*0.02</f>
        <v>247.36039870000002</v>
      </c>
      <c r="AP13" s="5">
        <v>600</v>
      </c>
      <c r="AQ13" s="45">
        <v>8512</v>
      </c>
      <c r="AR13" s="5">
        <f>Table1[[#This Row],[Nov_Projected_Pay]]*0.08</f>
        <v>680.96</v>
      </c>
      <c r="AS13" s="5">
        <f>Table1[[#This Row],[Nov_Projected_Pay]]*0.02</f>
        <v>170.24</v>
      </c>
      <c r="AT13" s="5">
        <v>600</v>
      </c>
      <c r="AU13" s="45">
        <v>13797.883703</v>
      </c>
      <c r="AV13" s="5">
        <f>Table1[[#This Row],[Dec_Projected_Pay]]*0.08</f>
        <v>1103.83069624</v>
      </c>
      <c r="AW13" s="5">
        <f>Table1[[#This Row],[Dec_Projected_Pay]]*0.02</f>
        <v>275.95767405999999</v>
      </c>
      <c r="AX13" s="5">
        <v>600</v>
      </c>
      <c r="AY13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209372.83906900001</v>
      </c>
      <c r="AZ13" s="59">
        <f>D13+H13+L13+P13+T13+X13+AB13+AF13+AJ13+AN13+AR13+AV13</f>
        <v>16749.827125519998</v>
      </c>
      <c r="BA13" s="59">
        <f>E13+I13+M13+Q13+U13+Y13+AC13+AG13+AK13+AO13+AS13+AW13</f>
        <v>4187.4567813799995</v>
      </c>
      <c r="BB13" s="59">
        <f>F13+J13+N13+R13+V13+Z13+AD13+AH13+AL13+AP13+AT13+AX13</f>
        <v>7200</v>
      </c>
    </row>
    <row r="14" spans="1:54" x14ac:dyDescent="0.3">
      <c r="A14" t="s">
        <v>231</v>
      </c>
      <c r="B14" t="s">
        <v>72</v>
      </c>
      <c r="C14" s="46">
        <v>6212</v>
      </c>
      <c r="D14" s="5">
        <f>Table1[[#This Row],[Jan_Projected_Pay]]*0.08</f>
        <v>496.96000000000004</v>
      </c>
      <c r="E14" s="5">
        <f>Table1[[#This Row],[Jan_Projected_Pay]]*0.02</f>
        <v>124.24000000000001</v>
      </c>
      <c r="F14" s="5">
        <v>458</v>
      </c>
      <c r="G14" s="45">
        <v>415</v>
      </c>
      <c r="H14" s="5">
        <f>Table1[[#This Row],[Feb_Projected_Pay]]*0.08</f>
        <v>33.200000000000003</v>
      </c>
      <c r="I14" s="5">
        <f>Table1[[#This Row],[Feb_Projected_Pay]]*0.02</f>
        <v>8.3000000000000007</v>
      </c>
      <c r="J14" s="5">
        <v>458</v>
      </c>
      <c r="K14" s="45">
        <v>11470</v>
      </c>
      <c r="L14" s="5">
        <f>Table1[[#This Row],[Mar_Projected_Pay]]*0.08</f>
        <v>917.6</v>
      </c>
      <c r="M14" s="5">
        <f>Table1[[#This Row],[Mar_Projected_Pay]]*0.02</f>
        <v>229.4</v>
      </c>
      <c r="N14" s="5">
        <v>458</v>
      </c>
      <c r="O14" s="45">
        <v>30071</v>
      </c>
      <c r="P14" s="5">
        <f>Table1[[#This Row],[Apr_Projected_Pay]]*0.08</f>
        <v>2405.6799999999998</v>
      </c>
      <c r="Q14" s="5">
        <f>Table1[[#This Row],[Apr_Projected_Pay]]*0.02</f>
        <v>601.41999999999996</v>
      </c>
      <c r="R14" s="5">
        <v>458</v>
      </c>
      <c r="S14" s="45">
        <v>45728</v>
      </c>
      <c r="T14" s="5">
        <f>Table1[[#This Row],[May_Projected_Pay]]*0.08</f>
        <v>3658.2400000000002</v>
      </c>
      <c r="U14" s="5">
        <f>Table1[[#This Row],[May_Projected_Pay]]*0.02</f>
        <v>914.56000000000006</v>
      </c>
      <c r="V14" s="5">
        <v>458</v>
      </c>
      <c r="W14" s="45">
        <v>56475</v>
      </c>
      <c r="X14" s="5">
        <f>Table1[[#This Row],[Jun_Projected_Pay]]*0.08</f>
        <v>4518</v>
      </c>
      <c r="Y14" s="5">
        <f>Table1[[#This Row],[Jun_Projected_Pay]]*0.02</f>
        <v>1129.5</v>
      </c>
      <c r="Z14" s="5">
        <v>458</v>
      </c>
      <c r="AA14" s="45">
        <v>68528</v>
      </c>
      <c r="AB14" s="5">
        <f>Table1[[#This Row],[Jul_Projected_Pay]]*0.08</f>
        <v>5482.24</v>
      </c>
      <c r="AC14" s="5">
        <f>Table1[[#This Row],[Jul_Projected_Pay]]*0.02</f>
        <v>1370.56</v>
      </c>
      <c r="AD14" s="5">
        <v>458</v>
      </c>
      <c r="AE14" s="45">
        <v>92184</v>
      </c>
      <c r="AF14" s="5">
        <f>Table1[[#This Row],[Aug_Projected_Pay]]*0.08</f>
        <v>7374.72</v>
      </c>
      <c r="AG14" s="5">
        <f>Table1[[#This Row],[Aug_Projected_Pay]]*0.02</f>
        <v>1843.68</v>
      </c>
      <c r="AH14" s="5">
        <v>458</v>
      </c>
      <c r="AI14" s="45">
        <v>69497</v>
      </c>
      <c r="AJ14" s="5">
        <f>Table1[[#This Row],[Sep_Projected_Pay]]*0.08</f>
        <v>5559.76</v>
      </c>
      <c r="AK14" s="5">
        <f>Table1[[#This Row],[Sep_Projected_Pay]]*0.02</f>
        <v>1389.94</v>
      </c>
      <c r="AL14" s="5">
        <v>458</v>
      </c>
      <c r="AM14" s="45">
        <v>84239</v>
      </c>
      <c r="AN14" s="5">
        <f>Table1[[#This Row],[Oct_Projected_Pay]]*0.08</f>
        <v>6739.12</v>
      </c>
      <c r="AO14" s="5">
        <f>Table1[[#This Row],[Oct_Projected_Pay]]*0.02</f>
        <v>1684.78</v>
      </c>
      <c r="AP14" s="5">
        <v>458</v>
      </c>
      <c r="AQ14" s="45">
        <v>52679</v>
      </c>
      <c r="AR14" s="5">
        <f>Table1[[#This Row],[Nov_Projected_Pay]]*0.08</f>
        <v>4214.32</v>
      </c>
      <c r="AS14" s="5">
        <f>Table1[[#This Row],[Nov_Projected_Pay]]*0.02</f>
        <v>1053.58</v>
      </c>
      <c r="AT14" s="5">
        <v>458</v>
      </c>
      <c r="AU14" s="45">
        <v>6468.8715868000008</v>
      </c>
      <c r="AV14" s="5">
        <f>Table1[[#This Row],[Dec_Projected_Pay]]*0.08</f>
        <v>517.50972694400002</v>
      </c>
      <c r="AW14" s="5">
        <f>Table1[[#This Row],[Dec_Projected_Pay]]*0.02</f>
        <v>129.37743173600001</v>
      </c>
      <c r="AX14" s="5">
        <v>458</v>
      </c>
      <c r="AY14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523966.87158679997</v>
      </c>
      <c r="AZ14" s="59">
        <f>D14+H14+L14+P14+T14+X14+AB14+AF14+AJ14+AN14+AR14+AV14</f>
        <v>41917.349726944005</v>
      </c>
      <c r="BA14" s="59">
        <f>E14+I14+M14+Q14+U14+Y14+AC14+AG14+AK14+AO14+AS14+AW14</f>
        <v>10479.337431736001</v>
      </c>
      <c r="BB14" s="59">
        <f>F14+J14+N14+R14+V14+Z14+AD14+AH14+AL14+AP14+AT14+AX14</f>
        <v>5496</v>
      </c>
    </row>
    <row r="15" spans="1:54" x14ac:dyDescent="0.3">
      <c r="A15" s="3" t="s">
        <v>71</v>
      </c>
      <c r="B15" t="s">
        <v>72</v>
      </c>
      <c r="C15" s="46">
        <v>850</v>
      </c>
      <c r="D15" s="5">
        <f>Table1[[#This Row],[Jan_Projected_Pay]]*0.08</f>
        <v>68</v>
      </c>
      <c r="E15" s="5">
        <f>Table1[[#This Row],[Jan_Projected_Pay]]*0.02</f>
        <v>17</v>
      </c>
      <c r="F15" s="5">
        <v>458</v>
      </c>
      <c r="G15" s="45">
        <v>0</v>
      </c>
      <c r="H15" s="5">
        <f>Table1[[#This Row],[Feb_Projected_Pay]]*0.08</f>
        <v>0</v>
      </c>
      <c r="I15" s="5">
        <f>Table1[[#This Row],[Feb_Projected_Pay]]*0.02</f>
        <v>0</v>
      </c>
      <c r="J15" s="5">
        <v>458</v>
      </c>
      <c r="K15" s="45">
        <v>1212</v>
      </c>
      <c r="L15" s="5">
        <f>Table1[[#This Row],[Mar_Projected_Pay]]*0.08</f>
        <v>96.960000000000008</v>
      </c>
      <c r="M15" s="5">
        <f>Table1[[#This Row],[Mar_Projected_Pay]]*0.02</f>
        <v>24.240000000000002</v>
      </c>
      <c r="N15" s="5">
        <v>458</v>
      </c>
      <c r="O15" s="45">
        <v>176</v>
      </c>
      <c r="P15" s="5">
        <f>Table1[[#This Row],[Apr_Projected_Pay]]*0.08</f>
        <v>14.08</v>
      </c>
      <c r="Q15" s="5">
        <f>Table1[[#This Row],[Apr_Projected_Pay]]*0.02</f>
        <v>3.52</v>
      </c>
      <c r="R15" s="5">
        <v>458</v>
      </c>
      <c r="S15" s="45">
        <v>850</v>
      </c>
      <c r="T15" s="5">
        <f>Table1[[#This Row],[May_Projected_Pay]]*0.08</f>
        <v>68</v>
      </c>
      <c r="U15" s="5">
        <f>Table1[[#This Row],[May_Projected_Pay]]*0.02</f>
        <v>17</v>
      </c>
      <c r="V15" s="5">
        <v>458</v>
      </c>
      <c r="W15" s="45">
        <v>15700</v>
      </c>
      <c r="X15" s="5">
        <f>Table1[[#This Row],[Jun_Projected_Pay]]*0.08</f>
        <v>1256</v>
      </c>
      <c r="Y15" s="5">
        <f>Table1[[#This Row],[Jun_Projected_Pay]]*0.02</f>
        <v>314</v>
      </c>
      <c r="Z15" s="5">
        <v>458</v>
      </c>
      <c r="AA15" s="45">
        <v>8704</v>
      </c>
      <c r="AB15" s="5">
        <f>Table1[[#This Row],[Jul_Projected_Pay]]*0.08</f>
        <v>696.32</v>
      </c>
      <c r="AC15" s="5">
        <f>Table1[[#This Row],[Jul_Projected_Pay]]*0.02</f>
        <v>174.08</v>
      </c>
      <c r="AD15" s="5">
        <v>458</v>
      </c>
      <c r="AE15" s="45">
        <v>16285</v>
      </c>
      <c r="AF15" s="5">
        <f>Table1[[#This Row],[Aug_Projected_Pay]]*0.08</f>
        <v>1302.8</v>
      </c>
      <c r="AG15" s="5">
        <f>Table1[[#This Row],[Aug_Projected_Pay]]*0.02</f>
        <v>325.7</v>
      </c>
      <c r="AH15" s="5">
        <v>458</v>
      </c>
      <c r="AI15" s="45">
        <v>7262</v>
      </c>
      <c r="AJ15" s="5">
        <f>Table1[[#This Row],[Sep_Projected_Pay]]*0.08</f>
        <v>580.96</v>
      </c>
      <c r="AK15" s="5">
        <f>Table1[[#This Row],[Sep_Projected_Pay]]*0.02</f>
        <v>145.24</v>
      </c>
      <c r="AL15" s="5">
        <v>458</v>
      </c>
      <c r="AM15" s="45">
        <v>5380</v>
      </c>
      <c r="AN15" s="5">
        <f>Table1[[#This Row],[Oct_Projected_Pay]]*0.08</f>
        <v>430.40000000000003</v>
      </c>
      <c r="AO15" s="5">
        <f>Table1[[#This Row],[Oct_Projected_Pay]]*0.02</f>
        <v>107.60000000000001</v>
      </c>
      <c r="AP15" s="5">
        <v>458</v>
      </c>
      <c r="AQ15" s="45">
        <v>5540.4707189999999</v>
      </c>
      <c r="AR15" s="5">
        <f>Table1[[#This Row],[Nov_Projected_Pay]]*0.08</f>
        <v>443.23765752000003</v>
      </c>
      <c r="AS15" s="5">
        <f>Table1[[#This Row],[Nov_Projected_Pay]]*0.02</f>
        <v>110.80941438000001</v>
      </c>
      <c r="AT15" s="5">
        <v>458</v>
      </c>
      <c r="AU15" s="45">
        <v>0</v>
      </c>
      <c r="AV15" s="5">
        <f>Table1[[#This Row],[Dec_Projected_Pay]]*0.08</f>
        <v>0</v>
      </c>
      <c r="AW15" s="5">
        <f>Table1[[#This Row],[Dec_Projected_Pay]]*0.02</f>
        <v>0</v>
      </c>
      <c r="AX15" s="5">
        <v>458</v>
      </c>
      <c r="AY15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61959.470719000004</v>
      </c>
      <c r="AZ15" s="59">
        <f>D15+H15+L15+P15+T15+X15+AB15+AF15+AJ15+AN15+AR15+AV15</f>
        <v>4956.7576575199992</v>
      </c>
      <c r="BA15" s="59">
        <f>E15+I15+M15+Q15+U15+Y15+AC15+AG15+AK15+AO15+AS15+AW15</f>
        <v>1239.1894143799998</v>
      </c>
      <c r="BB15" s="59">
        <f>F15+J15+N15+R15+V15+Z15+AD15+AH15+AL15+AP15+AT15+AX15</f>
        <v>5496</v>
      </c>
    </row>
    <row r="16" spans="1:54" x14ac:dyDescent="0.3">
      <c r="A16" s="7" t="s">
        <v>74</v>
      </c>
      <c r="B16" t="s">
        <v>75</v>
      </c>
      <c r="C16" s="46">
        <v>0</v>
      </c>
      <c r="D16" s="5">
        <f>Table1[[#This Row],[Jan_Projected_Pay]]*0.08</f>
        <v>0</v>
      </c>
      <c r="E16" s="5">
        <f>Table1[[#This Row],[Jan_Projected_Pay]]*0.02</f>
        <v>0</v>
      </c>
      <c r="F16" s="5">
        <v>458</v>
      </c>
      <c r="G16" s="45">
        <v>1525.6656459999999</v>
      </c>
      <c r="H16" s="5">
        <f>Table1[[#This Row],[Feb_Projected_Pay]]*0.08</f>
        <v>122.05325168</v>
      </c>
      <c r="I16" s="5">
        <f>Table1[[#This Row],[Feb_Projected_Pay]]*0.02</f>
        <v>30.513312920000001</v>
      </c>
      <c r="J16" s="5">
        <v>458</v>
      </c>
      <c r="K16" s="45">
        <v>4934</v>
      </c>
      <c r="L16" s="5">
        <f>Table1[[#This Row],[Mar_Projected_Pay]]*0.08</f>
        <v>394.72</v>
      </c>
      <c r="M16" s="5">
        <f>Table1[[#This Row],[Mar_Projected_Pay]]*0.02</f>
        <v>98.68</v>
      </c>
      <c r="N16" s="5">
        <v>458</v>
      </c>
      <c r="O16" s="45">
        <v>20729</v>
      </c>
      <c r="P16" s="5">
        <f>Table1[[#This Row],[Apr_Projected_Pay]]*0.08</f>
        <v>1658.32</v>
      </c>
      <c r="Q16" s="5">
        <f>Table1[[#This Row],[Apr_Projected_Pay]]*0.02</f>
        <v>414.58</v>
      </c>
      <c r="R16" s="5">
        <v>458</v>
      </c>
      <c r="S16" s="45">
        <v>31723</v>
      </c>
      <c r="T16" s="5">
        <f>Table1[[#This Row],[May_Projected_Pay]]*0.08</f>
        <v>2537.84</v>
      </c>
      <c r="U16" s="5">
        <f>Table1[[#This Row],[May_Projected_Pay]]*0.02</f>
        <v>634.46</v>
      </c>
      <c r="V16" s="5">
        <v>458</v>
      </c>
      <c r="W16" s="45">
        <v>68863</v>
      </c>
      <c r="X16" s="5">
        <f>Table1[[#This Row],[Jun_Projected_Pay]]*0.08</f>
        <v>5509.04</v>
      </c>
      <c r="Y16" s="5">
        <f>Table1[[#This Row],[Jun_Projected_Pay]]*0.02</f>
        <v>1377.26</v>
      </c>
      <c r="Z16" s="5">
        <v>458</v>
      </c>
      <c r="AA16" s="45">
        <v>55663</v>
      </c>
      <c r="AB16" s="5">
        <f>Table1[[#This Row],[Jul_Projected_Pay]]*0.08</f>
        <v>4453.04</v>
      </c>
      <c r="AC16" s="5">
        <f>Table1[[#This Row],[Jul_Projected_Pay]]*0.02</f>
        <v>1113.26</v>
      </c>
      <c r="AD16" s="5">
        <v>458</v>
      </c>
      <c r="AE16" s="45">
        <v>24186</v>
      </c>
      <c r="AF16" s="5">
        <f>Table1[[#This Row],[Aug_Projected_Pay]]*0.08</f>
        <v>1934.88</v>
      </c>
      <c r="AG16" s="5">
        <f>Table1[[#This Row],[Aug_Projected_Pay]]*0.02</f>
        <v>483.72</v>
      </c>
      <c r="AH16" s="5">
        <v>458</v>
      </c>
      <c r="AI16" s="45">
        <v>39381</v>
      </c>
      <c r="AJ16" s="5">
        <f>Table1[[#This Row],[Sep_Projected_Pay]]*0.08</f>
        <v>3150.48</v>
      </c>
      <c r="AK16" s="5">
        <f>Table1[[#This Row],[Sep_Projected_Pay]]*0.02</f>
        <v>787.62</v>
      </c>
      <c r="AL16" s="5">
        <v>458</v>
      </c>
      <c r="AM16" s="45">
        <v>12318</v>
      </c>
      <c r="AN16" s="5">
        <f>Table1[[#This Row],[Oct_Projected_Pay]]*0.08</f>
        <v>985.44</v>
      </c>
      <c r="AO16" s="5">
        <f>Table1[[#This Row],[Oct_Projected_Pay]]*0.02</f>
        <v>246.36</v>
      </c>
      <c r="AP16" s="5">
        <v>458</v>
      </c>
      <c r="AQ16" s="45">
        <v>8768</v>
      </c>
      <c r="AR16" s="5">
        <f>Table1[[#This Row],[Nov_Projected_Pay]]*0.08</f>
        <v>701.44</v>
      </c>
      <c r="AS16" s="5">
        <f>Table1[[#This Row],[Nov_Projected_Pay]]*0.02</f>
        <v>175.36</v>
      </c>
      <c r="AT16" s="5">
        <v>458</v>
      </c>
      <c r="AU16" s="45">
        <v>8265.4572250000001</v>
      </c>
      <c r="AV16" s="5">
        <f>Table1[[#This Row],[Dec_Projected_Pay]]*0.08</f>
        <v>661.23657800000001</v>
      </c>
      <c r="AW16" s="5">
        <f>Table1[[#This Row],[Dec_Projected_Pay]]*0.02</f>
        <v>165.3091445</v>
      </c>
      <c r="AX16" s="5">
        <v>458</v>
      </c>
      <c r="AY16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276356.12287100003</v>
      </c>
      <c r="AZ16" s="59">
        <f>D16+H16+L16+P16+T16+X16+AB16+AF16+AJ16+AN16+AR16+AV16</f>
        <v>22108.489829679998</v>
      </c>
      <c r="BA16" s="59">
        <f>E16+I16+M16+Q16+U16+Y16+AC16+AG16+AK16+AO16+AS16+AW16</f>
        <v>5527.1224574199996</v>
      </c>
      <c r="BB16" s="59">
        <f>F16+J16+N16+R16+V16+Z16+AD16+AH16+AL16+AP16+AT16+AX16</f>
        <v>5496</v>
      </c>
    </row>
    <row r="17" spans="1:54" x14ac:dyDescent="0.3">
      <c r="A17" s="43" t="s">
        <v>76</v>
      </c>
      <c r="B17" t="s">
        <v>77</v>
      </c>
      <c r="C17" s="46">
        <v>113721</v>
      </c>
      <c r="D17" s="5">
        <f>Table1[[#This Row],[Jan_Projected_Pay]]*0.08</f>
        <v>9097.68</v>
      </c>
      <c r="E17" s="5">
        <f>Table1[[#This Row],[Jan_Projected_Pay]]*0.02</f>
        <v>2274.42</v>
      </c>
      <c r="F17" s="5">
        <v>458</v>
      </c>
      <c r="G17" s="45">
        <v>165055</v>
      </c>
      <c r="H17" s="5">
        <f>Table1[[#This Row],[Feb_Projected_Pay]]*0.08</f>
        <v>13204.4</v>
      </c>
      <c r="I17" s="5">
        <f>Table1[[#This Row],[Feb_Projected_Pay]]*0.02</f>
        <v>3301.1</v>
      </c>
      <c r="J17" s="5">
        <v>458</v>
      </c>
      <c r="K17" s="45">
        <v>45794</v>
      </c>
      <c r="L17" s="5">
        <f>Table1[[#This Row],[Mar_Projected_Pay]]*0.08</f>
        <v>3663.52</v>
      </c>
      <c r="M17" s="5">
        <f>Table1[[#This Row],[Mar_Projected_Pay]]*0.02</f>
        <v>915.88</v>
      </c>
      <c r="N17" s="5">
        <v>458</v>
      </c>
      <c r="O17" s="45">
        <v>150484</v>
      </c>
      <c r="P17" s="5">
        <f>Table1[[#This Row],[Apr_Projected_Pay]]*0.08</f>
        <v>12038.72</v>
      </c>
      <c r="Q17" s="5">
        <f>Table1[[#This Row],[Apr_Projected_Pay]]*0.02</f>
        <v>3009.68</v>
      </c>
      <c r="R17" s="5">
        <v>458</v>
      </c>
      <c r="S17" s="45">
        <v>142049</v>
      </c>
      <c r="T17" s="5">
        <f>Table1[[#This Row],[May_Projected_Pay]]*0.08</f>
        <v>11363.92</v>
      </c>
      <c r="U17" s="5">
        <f>Table1[[#This Row],[May_Projected_Pay]]*0.02</f>
        <v>2840.98</v>
      </c>
      <c r="V17" s="5">
        <v>458</v>
      </c>
      <c r="W17" s="45">
        <v>167194</v>
      </c>
      <c r="X17" s="5">
        <f>Table1[[#This Row],[Jun_Projected_Pay]]*0.08</f>
        <v>13375.52</v>
      </c>
      <c r="Y17" s="5">
        <f>Table1[[#This Row],[Jun_Projected_Pay]]*0.02</f>
        <v>3343.88</v>
      </c>
      <c r="Z17" s="5">
        <v>458</v>
      </c>
      <c r="AA17" s="45">
        <v>150172</v>
      </c>
      <c r="AB17" s="5">
        <f>Table1[[#This Row],[Jul_Projected_Pay]]*0.08</f>
        <v>12013.76</v>
      </c>
      <c r="AC17" s="5">
        <f>Table1[[#This Row],[Jul_Projected_Pay]]*0.02</f>
        <v>3003.44</v>
      </c>
      <c r="AD17" s="5">
        <v>458</v>
      </c>
      <c r="AE17" s="45">
        <v>144215</v>
      </c>
      <c r="AF17" s="5">
        <f>Table1[[#This Row],[Aug_Projected_Pay]]*0.08</f>
        <v>11537.2</v>
      </c>
      <c r="AG17" s="5">
        <f>Table1[[#This Row],[Aug_Projected_Pay]]*0.02</f>
        <v>2884.3</v>
      </c>
      <c r="AH17" s="5">
        <v>458</v>
      </c>
      <c r="AI17" s="45">
        <v>153974</v>
      </c>
      <c r="AJ17" s="5">
        <f>Table1[[#This Row],[Sep_Projected_Pay]]*0.08</f>
        <v>12317.92</v>
      </c>
      <c r="AK17" s="5">
        <f>Table1[[#This Row],[Sep_Projected_Pay]]*0.02</f>
        <v>3079.48</v>
      </c>
      <c r="AL17" s="5">
        <v>458</v>
      </c>
      <c r="AM17" s="45">
        <v>125921</v>
      </c>
      <c r="AN17" s="5">
        <f>Table1[[#This Row],[Oct_Projected_Pay]]*0.08</f>
        <v>10073.68</v>
      </c>
      <c r="AO17" s="5">
        <f>Table1[[#This Row],[Oct_Projected_Pay]]*0.02</f>
        <v>2518.42</v>
      </c>
      <c r="AP17" s="5">
        <v>458</v>
      </c>
      <c r="AQ17" s="45">
        <v>86628</v>
      </c>
      <c r="AR17" s="5">
        <f>Table1[[#This Row],[Nov_Projected_Pay]]*0.08</f>
        <v>6930.24</v>
      </c>
      <c r="AS17" s="5">
        <f>Table1[[#This Row],[Nov_Projected_Pay]]*0.02</f>
        <v>1732.56</v>
      </c>
      <c r="AT17" s="5">
        <v>458</v>
      </c>
      <c r="AU17" s="45">
        <v>77833</v>
      </c>
      <c r="AV17" s="5">
        <f>Table1[[#This Row],[Dec_Projected_Pay]]*0.08</f>
        <v>6226.64</v>
      </c>
      <c r="AW17" s="5">
        <f>Table1[[#This Row],[Dec_Projected_Pay]]*0.02</f>
        <v>1556.66</v>
      </c>
      <c r="AX17" s="5">
        <v>458</v>
      </c>
      <c r="AY17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1523040</v>
      </c>
      <c r="AZ17" s="59">
        <f>D17+H17+L17+P17+T17+X17+AB17+AF17+AJ17+AN17+AR17+AV17</f>
        <v>121843.19999999998</v>
      </c>
      <c r="BA17" s="59">
        <f>E17+I17+M17+Q17+U17+Y17+AC17+AG17+AK17+AO17+AS17+AW17</f>
        <v>30460.799999999996</v>
      </c>
      <c r="BB17" s="59">
        <f>F17+J17+N17+R17+V17+Z17+AD17+AH17+AL17+AP17+AT17+AX17</f>
        <v>5496</v>
      </c>
    </row>
    <row r="18" spans="1:54" x14ac:dyDescent="0.3">
      <c r="A18" t="s">
        <v>78</v>
      </c>
      <c r="B18" t="s">
        <v>77</v>
      </c>
      <c r="C18" s="46">
        <v>33635</v>
      </c>
      <c r="D18" s="5">
        <f>Table1[[#This Row],[Jan_Projected_Pay]]*0.08</f>
        <v>2690.8</v>
      </c>
      <c r="E18" s="5">
        <f>Table1[[#This Row],[Jan_Projected_Pay]]*0.02</f>
        <v>672.7</v>
      </c>
      <c r="F18" s="5">
        <v>458</v>
      </c>
      <c r="G18" s="45">
        <v>13601</v>
      </c>
      <c r="H18" s="5">
        <f>Table1[[#This Row],[Feb_Projected_Pay]]*0.08</f>
        <v>1088.08</v>
      </c>
      <c r="I18" s="5">
        <f>Table1[[#This Row],[Feb_Projected_Pay]]*0.02</f>
        <v>272.02</v>
      </c>
      <c r="J18" s="5">
        <v>458</v>
      </c>
      <c r="K18" s="45">
        <v>80218</v>
      </c>
      <c r="L18" s="5">
        <f>Table1[[#This Row],[Mar_Projected_Pay]]*0.08</f>
        <v>6417.4400000000005</v>
      </c>
      <c r="M18" s="5">
        <f>Table1[[#This Row],[Mar_Projected_Pay]]*0.02</f>
        <v>1604.3600000000001</v>
      </c>
      <c r="N18" s="5">
        <v>458</v>
      </c>
      <c r="O18" s="45">
        <v>56553</v>
      </c>
      <c r="P18" s="5">
        <f>Table1[[#This Row],[Apr_Projected_Pay]]*0.08</f>
        <v>4524.24</v>
      </c>
      <c r="Q18" s="5">
        <f>Table1[[#This Row],[Apr_Projected_Pay]]*0.02</f>
        <v>1131.06</v>
      </c>
      <c r="R18" s="5">
        <v>458</v>
      </c>
      <c r="S18" s="45">
        <v>43583</v>
      </c>
      <c r="T18" s="5">
        <f>Table1[[#This Row],[May_Projected_Pay]]*0.08</f>
        <v>3486.64</v>
      </c>
      <c r="U18" s="5">
        <f>Table1[[#This Row],[May_Projected_Pay]]*0.02</f>
        <v>871.66</v>
      </c>
      <c r="V18" s="5">
        <v>458</v>
      </c>
      <c r="W18" s="45">
        <v>30413</v>
      </c>
      <c r="X18" s="5">
        <f>Table1[[#This Row],[Jun_Projected_Pay]]*0.08</f>
        <v>2433.04</v>
      </c>
      <c r="Y18" s="5">
        <f>Table1[[#This Row],[Jun_Projected_Pay]]*0.02</f>
        <v>608.26</v>
      </c>
      <c r="Z18" s="5">
        <v>458</v>
      </c>
      <c r="AA18" s="45">
        <v>108300</v>
      </c>
      <c r="AB18" s="5">
        <f>Table1[[#This Row],[Jul_Projected_Pay]]*0.08</f>
        <v>8664</v>
      </c>
      <c r="AC18" s="5">
        <f>Table1[[#This Row],[Jul_Projected_Pay]]*0.02</f>
        <v>2166</v>
      </c>
      <c r="AD18" s="5">
        <v>458</v>
      </c>
      <c r="AE18" s="45">
        <v>31169</v>
      </c>
      <c r="AF18" s="5">
        <f>Table1[[#This Row],[Aug_Projected_Pay]]*0.08</f>
        <v>2493.52</v>
      </c>
      <c r="AG18" s="5">
        <f>Table1[[#This Row],[Aug_Projected_Pay]]*0.02</f>
        <v>623.38</v>
      </c>
      <c r="AH18" s="5">
        <v>458</v>
      </c>
      <c r="AI18" s="45">
        <v>109618</v>
      </c>
      <c r="AJ18" s="5">
        <f>Table1[[#This Row],[Sep_Projected_Pay]]*0.08</f>
        <v>8769.44</v>
      </c>
      <c r="AK18" s="5">
        <f>Table1[[#This Row],[Sep_Projected_Pay]]*0.02</f>
        <v>2192.36</v>
      </c>
      <c r="AL18" s="5">
        <v>458</v>
      </c>
      <c r="AM18" s="45">
        <v>61848</v>
      </c>
      <c r="AN18" s="5">
        <f>Table1[[#This Row],[Oct_Projected_Pay]]*0.08</f>
        <v>4947.84</v>
      </c>
      <c r="AO18" s="5">
        <f>Table1[[#This Row],[Oct_Projected_Pay]]*0.02</f>
        <v>1236.96</v>
      </c>
      <c r="AP18" s="5">
        <v>458</v>
      </c>
      <c r="AQ18" s="45">
        <v>10112</v>
      </c>
      <c r="AR18" s="5">
        <f>Table1[[#This Row],[Nov_Projected_Pay]]*0.08</f>
        <v>808.96</v>
      </c>
      <c r="AS18" s="5">
        <f>Table1[[#This Row],[Nov_Projected_Pay]]*0.02</f>
        <v>202.24</v>
      </c>
      <c r="AT18" s="5">
        <v>458</v>
      </c>
      <c r="AU18" s="45">
        <v>30802</v>
      </c>
      <c r="AV18" s="5">
        <f>Table1[[#This Row],[Dec_Projected_Pay]]*0.08</f>
        <v>2464.16</v>
      </c>
      <c r="AW18" s="5">
        <f>Table1[[#This Row],[Dec_Projected_Pay]]*0.02</f>
        <v>616.04</v>
      </c>
      <c r="AX18" s="5">
        <v>458</v>
      </c>
      <c r="AY18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609852</v>
      </c>
      <c r="AZ18" s="59">
        <f>D18+H18+L18+P18+T18+X18+AB18+AF18+AJ18+AN18+AR18+AV18</f>
        <v>48788.160000000003</v>
      </c>
      <c r="BA18" s="59">
        <f>E18+I18+M18+Q18+U18+Y18+AC18+AG18+AK18+AO18+AS18+AW18</f>
        <v>12197.04</v>
      </c>
      <c r="BB18" s="59">
        <f>F18+J18+N18+R18+V18+Z18+AD18+AH18+AL18+AP18+AT18+AX18</f>
        <v>5496</v>
      </c>
    </row>
    <row r="19" spans="1:54" x14ac:dyDescent="0.3">
      <c r="A19" t="s">
        <v>80</v>
      </c>
      <c r="B19" t="s">
        <v>77</v>
      </c>
      <c r="C19" s="46">
        <v>13508</v>
      </c>
      <c r="D19" s="5">
        <f>Table1[[#This Row],[Jan_Projected_Pay]]*0.08</f>
        <v>1080.6400000000001</v>
      </c>
      <c r="E19" s="5">
        <f>Table1[[#This Row],[Jan_Projected_Pay]]*0.02</f>
        <v>270.16000000000003</v>
      </c>
      <c r="F19" s="5">
        <v>600</v>
      </c>
      <c r="G19" s="45">
        <v>18776</v>
      </c>
      <c r="H19" s="5">
        <f>Table1[[#This Row],[Feb_Projected_Pay]]*0.08</f>
        <v>1502.08</v>
      </c>
      <c r="I19" s="5">
        <f>Table1[[#This Row],[Feb_Projected_Pay]]*0.02</f>
        <v>375.52</v>
      </c>
      <c r="J19" s="5">
        <v>600</v>
      </c>
      <c r="K19" s="45">
        <v>18324</v>
      </c>
      <c r="L19" s="5">
        <f>Table1[[#This Row],[Mar_Projected_Pay]]*0.08</f>
        <v>1465.92</v>
      </c>
      <c r="M19" s="5">
        <f>Table1[[#This Row],[Mar_Projected_Pay]]*0.02</f>
        <v>366.48</v>
      </c>
      <c r="N19" s="5">
        <v>600</v>
      </c>
      <c r="O19" s="45">
        <v>25329</v>
      </c>
      <c r="P19" s="5">
        <f>Table1[[#This Row],[Apr_Projected_Pay]]*0.08</f>
        <v>2026.32</v>
      </c>
      <c r="Q19" s="5">
        <f>Table1[[#This Row],[Apr_Projected_Pay]]*0.02</f>
        <v>506.58</v>
      </c>
      <c r="R19" s="5">
        <v>600</v>
      </c>
      <c r="S19" s="45">
        <v>23548</v>
      </c>
      <c r="T19" s="5">
        <f>Table1[[#This Row],[May_Projected_Pay]]*0.08</f>
        <v>1883.8400000000001</v>
      </c>
      <c r="U19" s="5">
        <f>Table1[[#This Row],[May_Projected_Pay]]*0.02</f>
        <v>470.96000000000004</v>
      </c>
      <c r="V19" s="5">
        <v>600</v>
      </c>
      <c r="W19" s="45">
        <v>32148</v>
      </c>
      <c r="X19" s="5">
        <f>Table1[[#This Row],[Jun_Projected_Pay]]*0.08</f>
        <v>2571.84</v>
      </c>
      <c r="Y19" s="5">
        <f>Table1[[#This Row],[Jun_Projected_Pay]]*0.02</f>
        <v>642.96</v>
      </c>
      <c r="Z19" s="5">
        <v>600</v>
      </c>
      <c r="AA19" s="45">
        <v>22476</v>
      </c>
      <c r="AB19" s="5">
        <f>Table1[[#This Row],[Jul_Projected_Pay]]*0.08</f>
        <v>1798.08</v>
      </c>
      <c r="AC19" s="5">
        <f>Table1[[#This Row],[Jul_Projected_Pay]]*0.02</f>
        <v>449.52</v>
      </c>
      <c r="AD19" s="5">
        <v>600</v>
      </c>
      <c r="AE19" s="45">
        <v>21632</v>
      </c>
      <c r="AF19" s="5">
        <f>Table1[[#This Row],[Aug_Projected_Pay]]*0.08</f>
        <v>1730.56</v>
      </c>
      <c r="AG19" s="5">
        <f>Table1[[#This Row],[Aug_Projected_Pay]]*0.02</f>
        <v>432.64</v>
      </c>
      <c r="AH19" s="5">
        <v>600</v>
      </c>
      <c r="AI19" s="45">
        <v>28320</v>
      </c>
      <c r="AJ19" s="5">
        <f>Table1[[#This Row],[Sep_Projected_Pay]]*0.08</f>
        <v>2265.6</v>
      </c>
      <c r="AK19" s="5">
        <f>Table1[[#This Row],[Sep_Projected_Pay]]*0.02</f>
        <v>566.4</v>
      </c>
      <c r="AL19" s="5">
        <v>600</v>
      </c>
      <c r="AM19" s="45">
        <v>17849</v>
      </c>
      <c r="AN19" s="5">
        <f>Table1[[#This Row],[Oct_Projected_Pay]]*0.08</f>
        <v>1427.92</v>
      </c>
      <c r="AO19" s="5">
        <f>Table1[[#This Row],[Oct_Projected_Pay]]*0.02</f>
        <v>356.98</v>
      </c>
      <c r="AP19" s="5">
        <v>600</v>
      </c>
      <c r="AQ19" s="45">
        <v>23605</v>
      </c>
      <c r="AR19" s="5">
        <f>Table1[[#This Row],[Nov_Projected_Pay]]*0.08</f>
        <v>1888.4</v>
      </c>
      <c r="AS19" s="5">
        <f>Table1[[#This Row],[Nov_Projected_Pay]]*0.02</f>
        <v>472.1</v>
      </c>
      <c r="AT19" s="5">
        <v>600</v>
      </c>
      <c r="AU19" s="45">
        <v>18240</v>
      </c>
      <c r="AV19" s="5">
        <f>Table1[[#This Row],[Dec_Projected_Pay]]*0.08</f>
        <v>1459.2</v>
      </c>
      <c r="AW19" s="5">
        <f>Table1[[#This Row],[Dec_Projected_Pay]]*0.02</f>
        <v>364.8</v>
      </c>
      <c r="AX19" s="5">
        <v>600</v>
      </c>
      <c r="AY19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263755</v>
      </c>
      <c r="AZ19" s="59">
        <f>D19+H19+L19+P19+T19+X19+AB19+AF19+AJ19+AN19+AR19+AV19</f>
        <v>21100.400000000001</v>
      </c>
      <c r="BA19" s="59">
        <f>E19+I19+M19+Q19+U19+Y19+AC19+AG19+AK19+AO19+AS19+AW19</f>
        <v>5275.1</v>
      </c>
      <c r="BB19" s="59">
        <f>F19+J19+N19+R19+V19+Z19+AD19+AH19+AL19+AP19+AT19+AX19</f>
        <v>7200</v>
      </c>
    </row>
    <row r="20" spans="1:54" x14ac:dyDescent="0.3">
      <c r="A20" t="s">
        <v>81</v>
      </c>
      <c r="B20" t="s">
        <v>77</v>
      </c>
      <c r="C20" s="46">
        <v>13701</v>
      </c>
      <c r="D20" s="5">
        <f>Table1[[#This Row],[Jan_Projected_Pay]]*0.08</f>
        <v>1096.08</v>
      </c>
      <c r="E20" s="5">
        <f>Table1[[#This Row],[Jan_Projected_Pay]]*0.02</f>
        <v>274.02</v>
      </c>
      <c r="F20" s="5">
        <v>600</v>
      </c>
      <c r="G20" s="45">
        <v>19044</v>
      </c>
      <c r="H20" s="5">
        <f>Table1[[#This Row],[Feb_Projected_Pay]]*0.08</f>
        <v>1523.52</v>
      </c>
      <c r="I20" s="5">
        <f>Table1[[#This Row],[Feb_Projected_Pay]]*0.02</f>
        <v>380.88</v>
      </c>
      <c r="J20" s="5">
        <v>600</v>
      </c>
      <c r="K20" s="45">
        <v>26472</v>
      </c>
      <c r="L20" s="5">
        <f>Table1[[#This Row],[Mar_Projected_Pay]]*0.08</f>
        <v>2117.7600000000002</v>
      </c>
      <c r="M20" s="5">
        <f>Table1[[#This Row],[Mar_Projected_Pay]]*0.02</f>
        <v>529.44000000000005</v>
      </c>
      <c r="N20" s="5">
        <v>600</v>
      </c>
      <c r="O20" s="45">
        <v>36796</v>
      </c>
      <c r="P20" s="5">
        <f>Table1[[#This Row],[Apr_Projected_Pay]]*0.08</f>
        <v>2943.68</v>
      </c>
      <c r="Q20" s="5">
        <f>Table1[[#This Row],[Apr_Projected_Pay]]*0.02</f>
        <v>735.92</v>
      </c>
      <c r="R20" s="5">
        <v>600</v>
      </c>
      <c r="S20" s="45">
        <v>26350</v>
      </c>
      <c r="T20" s="5">
        <f>Table1[[#This Row],[May_Projected_Pay]]*0.08</f>
        <v>2108</v>
      </c>
      <c r="U20" s="5">
        <f>Table1[[#This Row],[May_Projected_Pay]]*0.02</f>
        <v>527</v>
      </c>
      <c r="V20" s="5">
        <v>600</v>
      </c>
      <c r="W20" s="45">
        <v>27860</v>
      </c>
      <c r="X20" s="5">
        <f>Table1[[#This Row],[Jun_Projected_Pay]]*0.08</f>
        <v>2228.8000000000002</v>
      </c>
      <c r="Y20" s="5">
        <f>Table1[[#This Row],[Jun_Projected_Pay]]*0.02</f>
        <v>557.20000000000005</v>
      </c>
      <c r="Z20" s="5">
        <v>600</v>
      </c>
      <c r="AA20" s="45">
        <v>26420</v>
      </c>
      <c r="AB20" s="5">
        <f>Table1[[#This Row],[Jul_Projected_Pay]]*0.08</f>
        <v>2113.6</v>
      </c>
      <c r="AC20" s="5">
        <f>Table1[[#This Row],[Jul_Projected_Pay]]*0.02</f>
        <v>528.4</v>
      </c>
      <c r="AD20" s="5">
        <v>600</v>
      </c>
      <c r="AE20" s="45">
        <v>24560</v>
      </c>
      <c r="AF20" s="5">
        <f>Table1[[#This Row],[Aug_Projected_Pay]]*0.08</f>
        <v>1964.8</v>
      </c>
      <c r="AG20" s="5">
        <f>Table1[[#This Row],[Aug_Projected_Pay]]*0.02</f>
        <v>491.2</v>
      </c>
      <c r="AH20" s="5">
        <v>600</v>
      </c>
      <c r="AI20" s="45">
        <v>30245</v>
      </c>
      <c r="AJ20" s="5">
        <f>Table1[[#This Row],[Sep_Projected_Pay]]*0.08</f>
        <v>2419.6</v>
      </c>
      <c r="AK20" s="5">
        <f>Table1[[#This Row],[Sep_Projected_Pay]]*0.02</f>
        <v>604.9</v>
      </c>
      <c r="AL20" s="5">
        <v>600</v>
      </c>
      <c r="AM20" s="45">
        <v>22521</v>
      </c>
      <c r="AN20" s="5">
        <f>Table1[[#This Row],[Oct_Projected_Pay]]*0.08</f>
        <v>1801.68</v>
      </c>
      <c r="AO20" s="5">
        <f>Table1[[#This Row],[Oct_Projected_Pay]]*0.02</f>
        <v>450.42</v>
      </c>
      <c r="AP20" s="5">
        <v>600</v>
      </c>
      <c r="AQ20" s="45">
        <v>24361</v>
      </c>
      <c r="AR20" s="5">
        <f>Table1[[#This Row],[Nov_Projected_Pay]]*0.08</f>
        <v>1948.88</v>
      </c>
      <c r="AS20" s="5">
        <f>Table1[[#This Row],[Nov_Projected_Pay]]*0.02</f>
        <v>487.22</v>
      </c>
      <c r="AT20" s="5">
        <v>600</v>
      </c>
      <c r="AU20" s="45">
        <v>22478</v>
      </c>
      <c r="AV20" s="5">
        <f>Table1[[#This Row],[Dec_Projected_Pay]]*0.08</f>
        <v>1798.24</v>
      </c>
      <c r="AW20" s="5">
        <f>Table1[[#This Row],[Dec_Projected_Pay]]*0.02</f>
        <v>449.56</v>
      </c>
      <c r="AX20" s="5">
        <v>600</v>
      </c>
      <c r="AY20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300808</v>
      </c>
      <c r="AZ20" s="59">
        <f>D20+H20+L20+P20+T20+X20+AB20+AF20+AJ20+AN20+AR20+AV20</f>
        <v>24064.640000000003</v>
      </c>
      <c r="BA20" s="59">
        <f>E20+I20+M20+Q20+U20+Y20+AC20+AG20+AK20+AO20+AS20+AW20</f>
        <v>6016.1600000000008</v>
      </c>
      <c r="BB20" s="59">
        <f>F20+J20+N20+R20+V20+Z20+AD20+AH20+AL20+AP20+AT20+AX20</f>
        <v>7200</v>
      </c>
    </row>
    <row r="21" spans="1:54" x14ac:dyDescent="0.3">
      <c r="A21" t="s">
        <v>82</v>
      </c>
      <c r="B21" t="s">
        <v>77</v>
      </c>
      <c r="C21" s="46">
        <v>13601</v>
      </c>
      <c r="D21" s="5">
        <f>Table1[[#This Row],[Jan_Projected_Pay]]*0.08</f>
        <v>1088.08</v>
      </c>
      <c r="E21" s="5">
        <f>Table1[[#This Row],[Jan_Projected_Pay]]*0.02</f>
        <v>272.02</v>
      </c>
      <c r="F21" s="5">
        <v>650</v>
      </c>
      <c r="G21" s="45">
        <v>18905</v>
      </c>
      <c r="H21" s="5">
        <f>Table1[[#This Row],[Feb_Projected_Pay]]*0.08</f>
        <v>1512.4</v>
      </c>
      <c r="I21" s="5">
        <f>Table1[[#This Row],[Feb_Projected_Pay]]*0.02</f>
        <v>378.1</v>
      </c>
      <c r="J21" s="5">
        <v>650</v>
      </c>
      <c r="K21" s="45">
        <v>26278</v>
      </c>
      <c r="L21" s="5">
        <f>Table1[[#This Row],[Mar_Projected_Pay]]*0.08</f>
        <v>2102.2400000000002</v>
      </c>
      <c r="M21" s="5">
        <f>Table1[[#This Row],[Mar_Projected_Pay]]*0.02</f>
        <v>525.56000000000006</v>
      </c>
      <c r="N21" s="5">
        <v>650</v>
      </c>
      <c r="O21" s="45">
        <v>36527</v>
      </c>
      <c r="P21" s="5">
        <f>Table1[[#This Row],[Apr_Projected_Pay]]*0.08</f>
        <v>2922.16</v>
      </c>
      <c r="Q21" s="5">
        <f>Table1[[#This Row],[Apr_Projected_Pay]]*0.02</f>
        <v>730.54</v>
      </c>
      <c r="R21" s="5">
        <v>650</v>
      </c>
      <c r="S21" s="45">
        <v>24502</v>
      </c>
      <c r="T21" s="5">
        <f>Table1[[#This Row],[May_Projected_Pay]]*0.08</f>
        <v>1960.16</v>
      </c>
      <c r="U21" s="5">
        <f>Table1[[#This Row],[May_Projected_Pay]]*0.02</f>
        <v>490.04</v>
      </c>
      <c r="V21" s="5">
        <v>650</v>
      </c>
      <c r="W21" s="45">
        <v>29478</v>
      </c>
      <c r="X21" s="5">
        <f>Table1[[#This Row],[Jun_Projected_Pay]]*0.08</f>
        <v>2358.2400000000002</v>
      </c>
      <c r="Y21" s="5">
        <f>Table1[[#This Row],[Jun_Projected_Pay]]*0.02</f>
        <v>589.56000000000006</v>
      </c>
      <c r="Z21" s="5">
        <v>650</v>
      </c>
      <c r="AA21" s="45">
        <v>25103</v>
      </c>
      <c r="AB21" s="5">
        <f>Table1[[#This Row],[Jul_Projected_Pay]]*0.08</f>
        <v>2008.24</v>
      </c>
      <c r="AC21" s="5">
        <f>Table1[[#This Row],[Jul_Projected_Pay]]*0.02</f>
        <v>502.06</v>
      </c>
      <c r="AD21" s="5">
        <v>650</v>
      </c>
      <c r="AE21" s="45">
        <v>23879</v>
      </c>
      <c r="AF21" s="5">
        <f>Table1[[#This Row],[Aug_Projected_Pay]]*0.08</f>
        <v>1910.32</v>
      </c>
      <c r="AG21" s="5">
        <f>Table1[[#This Row],[Aug_Projected_Pay]]*0.02</f>
        <v>477.58</v>
      </c>
      <c r="AH21" s="5">
        <v>650</v>
      </c>
      <c r="AI21" s="45">
        <v>29369</v>
      </c>
      <c r="AJ21" s="5">
        <f>Table1[[#This Row],[Sep_Projected_Pay]]*0.08</f>
        <v>2349.52</v>
      </c>
      <c r="AK21" s="5">
        <f>Table1[[#This Row],[Sep_Projected_Pay]]*0.02</f>
        <v>587.38</v>
      </c>
      <c r="AL21" s="5">
        <v>650</v>
      </c>
      <c r="AM21" s="45">
        <v>19584</v>
      </c>
      <c r="AN21" s="5">
        <f>Table1[[#This Row],[Oct_Projected_Pay]]*0.08</f>
        <v>1566.72</v>
      </c>
      <c r="AO21" s="5">
        <f>Table1[[#This Row],[Oct_Projected_Pay]]*0.02</f>
        <v>391.68</v>
      </c>
      <c r="AP21" s="5">
        <v>650</v>
      </c>
      <c r="AQ21" s="45">
        <v>23987</v>
      </c>
      <c r="AR21" s="5">
        <f>Table1[[#This Row],[Nov_Projected_Pay]]*0.08</f>
        <v>1918.96</v>
      </c>
      <c r="AS21" s="5">
        <f>Table1[[#This Row],[Nov_Projected_Pay]]*0.02</f>
        <v>479.74</v>
      </c>
      <c r="AT21" s="5">
        <v>650</v>
      </c>
      <c r="AU21" s="45">
        <v>19652</v>
      </c>
      <c r="AV21" s="5">
        <f>Table1[[#This Row],[Dec_Projected_Pay]]*0.08</f>
        <v>1572.16</v>
      </c>
      <c r="AW21" s="5">
        <f>Table1[[#This Row],[Dec_Projected_Pay]]*0.02</f>
        <v>393.04</v>
      </c>
      <c r="AX21" s="5">
        <v>650</v>
      </c>
      <c r="AY21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290865</v>
      </c>
      <c r="AZ21" s="59">
        <f>D21+H21+L21+P21+T21+X21+AB21+AF21+AJ21+AN21+AR21+AV21</f>
        <v>23269.200000000001</v>
      </c>
      <c r="BA21" s="59">
        <f>E21+I21+M21+Q21+U21+Y21+AC21+AG21+AK21+AO21+AS21+AW21</f>
        <v>5817.3</v>
      </c>
      <c r="BB21" s="59">
        <f>F21+J21+N21+R21+V21+Z21+AD21+AH21+AL21+AP21+AT21+AX21</f>
        <v>7800</v>
      </c>
    </row>
    <row r="22" spans="1:54" x14ac:dyDescent="0.3">
      <c r="A22" t="s">
        <v>79</v>
      </c>
      <c r="B22" t="s">
        <v>77</v>
      </c>
      <c r="C22" s="46">
        <v>85537.527526999998</v>
      </c>
      <c r="D22" s="5">
        <f>Table1[[#This Row],[Jan_Projected_Pay]]*0.08</f>
        <v>6843.0022021599998</v>
      </c>
      <c r="E22" s="5">
        <f>Table1[[#This Row],[Jan_Projected_Pay]]*0.02</f>
        <v>1710.7505505399999</v>
      </c>
      <c r="F22" s="5">
        <v>458</v>
      </c>
      <c r="G22" s="45">
        <v>84678</v>
      </c>
      <c r="H22" s="5">
        <f>Table1[[#This Row],[Feb_Projected_Pay]]*0.08</f>
        <v>6774.24</v>
      </c>
      <c r="I22" s="5">
        <f>Table1[[#This Row],[Feb_Projected_Pay]]*0.02</f>
        <v>1693.56</v>
      </c>
      <c r="J22" s="5">
        <v>458</v>
      </c>
      <c r="K22" s="45">
        <v>85752</v>
      </c>
      <c r="L22" s="5">
        <f>Table1[[#This Row],[Mar_Projected_Pay]]*0.08</f>
        <v>6860.16</v>
      </c>
      <c r="M22" s="5">
        <f>Table1[[#This Row],[Mar_Projected_Pay]]*0.02</f>
        <v>1715.04</v>
      </c>
      <c r="N22" s="5">
        <v>458</v>
      </c>
      <c r="O22" s="45">
        <v>135270</v>
      </c>
      <c r="P22" s="5">
        <f>Table1[[#This Row],[Apr_Projected_Pay]]*0.08</f>
        <v>10821.6</v>
      </c>
      <c r="Q22" s="5">
        <f>Table1[[#This Row],[Apr_Projected_Pay]]*0.02</f>
        <v>2705.4</v>
      </c>
      <c r="R22" s="5">
        <v>458</v>
      </c>
      <c r="S22" s="45">
        <v>69885</v>
      </c>
      <c r="T22" s="5">
        <f>Table1[[#This Row],[May_Projected_Pay]]*0.08</f>
        <v>5590.8</v>
      </c>
      <c r="U22" s="5">
        <f>Table1[[#This Row],[May_Projected_Pay]]*0.02</f>
        <v>1397.7</v>
      </c>
      <c r="V22" s="5">
        <v>458</v>
      </c>
      <c r="W22" s="45">
        <v>132471</v>
      </c>
      <c r="X22" s="5">
        <f>Table1[[#This Row],[Jun_Projected_Pay]]*0.08</f>
        <v>10597.68</v>
      </c>
      <c r="Y22" s="5">
        <f>Table1[[#This Row],[Jun_Projected_Pay]]*0.02</f>
        <v>2649.42</v>
      </c>
      <c r="Z22" s="5">
        <v>458</v>
      </c>
      <c r="AA22" s="45">
        <v>194226</v>
      </c>
      <c r="AB22" s="5">
        <f>Table1[[#This Row],[Jul_Projected_Pay]]*0.08</f>
        <v>15538.08</v>
      </c>
      <c r="AC22" s="5">
        <f>Table1[[#This Row],[Jul_Projected_Pay]]*0.02</f>
        <v>3884.52</v>
      </c>
      <c r="AD22" s="5">
        <v>458</v>
      </c>
      <c r="AE22" s="45">
        <v>175362</v>
      </c>
      <c r="AF22" s="5">
        <f>Table1[[#This Row],[Aug_Projected_Pay]]*0.08</f>
        <v>14028.960000000001</v>
      </c>
      <c r="AG22" s="5">
        <f>Table1[[#This Row],[Aug_Projected_Pay]]*0.02</f>
        <v>3507.2400000000002</v>
      </c>
      <c r="AH22" s="5">
        <v>458</v>
      </c>
      <c r="AI22" s="45">
        <v>175119</v>
      </c>
      <c r="AJ22" s="5">
        <f>Table1[[#This Row],[Sep_Projected_Pay]]*0.08</f>
        <v>14009.52</v>
      </c>
      <c r="AK22" s="5">
        <f>Table1[[#This Row],[Sep_Projected_Pay]]*0.02</f>
        <v>3502.38</v>
      </c>
      <c r="AL22" s="5">
        <v>458</v>
      </c>
      <c r="AM22" s="45">
        <v>142038</v>
      </c>
      <c r="AN22" s="5">
        <f>Table1[[#This Row],[Oct_Projected_Pay]]*0.08</f>
        <v>11363.04</v>
      </c>
      <c r="AO22" s="5">
        <f>Table1[[#This Row],[Oct_Projected_Pay]]*0.02</f>
        <v>2840.76</v>
      </c>
      <c r="AP22" s="5">
        <v>458</v>
      </c>
      <c r="AQ22" s="45">
        <v>117152</v>
      </c>
      <c r="AR22" s="5">
        <f>Table1[[#This Row],[Nov_Projected_Pay]]*0.08</f>
        <v>9372.16</v>
      </c>
      <c r="AS22" s="5">
        <f>Table1[[#This Row],[Nov_Projected_Pay]]*0.02</f>
        <v>2343.04</v>
      </c>
      <c r="AT22" s="5">
        <v>458</v>
      </c>
      <c r="AU22" s="45">
        <v>110363</v>
      </c>
      <c r="AV22" s="5">
        <f>Table1[[#This Row],[Dec_Projected_Pay]]*0.08</f>
        <v>8829.0400000000009</v>
      </c>
      <c r="AW22" s="5">
        <f>Table1[[#This Row],[Dec_Projected_Pay]]*0.02</f>
        <v>2207.2600000000002</v>
      </c>
      <c r="AX22" s="5">
        <v>458</v>
      </c>
      <c r="AY22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1507853.5275270001</v>
      </c>
      <c r="AZ22" s="59">
        <f>D22+H22+L22+P22+T22+X22+AB22+AF22+AJ22+AN22+AR22+AV22</f>
        <v>120628.28220216002</v>
      </c>
      <c r="BA22" s="59">
        <f>E22+I22+M22+Q22+U22+Y22+AC22+AG22+AK22+AO22+AS22+AW22</f>
        <v>30157.070550540004</v>
      </c>
      <c r="BB22" s="59">
        <f>F22+J22+N22+R22+V22+Z22+AD22+AH22+AL22+AP22+AT22+AX22</f>
        <v>5496</v>
      </c>
    </row>
    <row r="23" spans="1:54" x14ac:dyDescent="0.3">
      <c r="A23" t="s">
        <v>83</v>
      </c>
      <c r="B23" t="s">
        <v>77</v>
      </c>
      <c r="C23" s="46">
        <v>16424</v>
      </c>
      <c r="D23" s="5">
        <f>Table1[[#This Row],[Jan_Projected_Pay]]*0.08</f>
        <v>1313.92</v>
      </c>
      <c r="E23" s="5">
        <f>Table1[[#This Row],[Jan_Projected_Pay]]*0.02</f>
        <v>328.48</v>
      </c>
      <c r="F23" s="5">
        <v>600</v>
      </c>
      <c r="G23" s="45">
        <v>22829</v>
      </c>
      <c r="H23" s="5">
        <f>Table1[[#This Row],[Feb_Projected_Pay]]*0.08</f>
        <v>1826.32</v>
      </c>
      <c r="I23" s="5">
        <f>Table1[[#This Row],[Feb_Projected_Pay]]*0.02</f>
        <v>456.58</v>
      </c>
      <c r="J23" s="5">
        <v>600</v>
      </c>
      <c r="K23" s="45">
        <v>29653</v>
      </c>
      <c r="L23" s="5">
        <f>Table1[[#This Row],[Mar_Projected_Pay]]*0.08</f>
        <v>2372.2400000000002</v>
      </c>
      <c r="M23" s="5">
        <f>Table1[[#This Row],[Mar_Projected_Pay]]*0.02</f>
        <v>593.06000000000006</v>
      </c>
      <c r="N23" s="5">
        <v>600</v>
      </c>
      <c r="O23" s="45">
        <v>37254</v>
      </c>
      <c r="P23" s="5">
        <f>Table1[[#This Row],[Apr_Projected_Pay]]*0.08</f>
        <v>2980.32</v>
      </c>
      <c r="Q23" s="5">
        <f>Table1[[#This Row],[Apr_Projected_Pay]]*0.02</f>
        <v>745.08</v>
      </c>
      <c r="R23" s="5">
        <v>600</v>
      </c>
      <c r="S23" s="45">
        <v>23265</v>
      </c>
      <c r="T23" s="5">
        <f>Table1[[#This Row],[May_Projected_Pay]]*0.08</f>
        <v>1861.2</v>
      </c>
      <c r="U23" s="5">
        <f>Table1[[#This Row],[May_Projected_Pay]]*0.02</f>
        <v>465.3</v>
      </c>
      <c r="V23" s="5">
        <v>600</v>
      </c>
      <c r="W23" s="45">
        <v>25312</v>
      </c>
      <c r="X23" s="5">
        <f>Table1[[#This Row],[Jun_Projected_Pay]]*0.08</f>
        <v>2024.96</v>
      </c>
      <c r="Y23" s="5">
        <f>Table1[[#This Row],[Jun_Projected_Pay]]*0.02</f>
        <v>506.24</v>
      </c>
      <c r="Z23" s="5">
        <v>600</v>
      </c>
      <c r="AA23" s="45">
        <v>23642</v>
      </c>
      <c r="AB23" s="5">
        <f>Table1[[#This Row],[Jul_Projected_Pay]]*0.08</f>
        <v>1891.3600000000001</v>
      </c>
      <c r="AC23" s="5">
        <f>Table1[[#This Row],[Jul_Projected_Pay]]*0.02</f>
        <v>472.84000000000003</v>
      </c>
      <c r="AD23" s="5">
        <v>600</v>
      </c>
      <c r="AE23" s="45">
        <v>25654</v>
      </c>
      <c r="AF23" s="5">
        <f>Table1[[#This Row],[Aug_Projected_Pay]]*0.08</f>
        <v>2052.3200000000002</v>
      </c>
      <c r="AG23" s="5">
        <f>Table1[[#This Row],[Aug_Projected_Pay]]*0.02</f>
        <v>513.08000000000004</v>
      </c>
      <c r="AH23" s="5">
        <v>600</v>
      </c>
      <c r="AI23" s="45">
        <v>31622</v>
      </c>
      <c r="AJ23" s="5">
        <f>Table1[[#This Row],[Sep_Projected_Pay]]*0.08</f>
        <v>2529.7600000000002</v>
      </c>
      <c r="AK23" s="5">
        <f>Table1[[#This Row],[Sep_Projected_Pay]]*0.02</f>
        <v>632.44000000000005</v>
      </c>
      <c r="AL23" s="5">
        <v>600</v>
      </c>
      <c r="AM23" s="45">
        <v>17489</v>
      </c>
      <c r="AN23" s="5">
        <f>Table1[[#This Row],[Oct_Projected_Pay]]*0.08</f>
        <v>1399.1200000000001</v>
      </c>
      <c r="AO23" s="5">
        <f>Table1[[#This Row],[Oct_Projected_Pay]]*0.02</f>
        <v>349.78000000000003</v>
      </c>
      <c r="AP23" s="5">
        <v>600</v>
      </c>
      <c r="AQ23" s="45">
        <v>21564</v>
      </c>
      <c r="AR23" s="5">
        <f>Table1[[#This Row],[Nov_Projected_Pay]]*0.08</f>
        <v>1725.1200000000001</v>
      </c>
      <c r="AS23" s="5">
        <f>Table1[[#This Row],[Nov_Projected_Pay]]*0.02</f>
        <v>431.28000000000003</v>
      </c>
      <c r="AT23" s="5">
        <v>600</v>
      </c>
      <c r="AU23" s="45">
        <v>22156</v>
      </c>
      <c r="AV23" s="5">
        <f>Table1[[#This Row],[Dec_Projected_Pay]]*0.08</f>
        <v>1772.48</v>
      </c>
      <c r="AW23" s="5">
        <f>Table1[[#This Row],[Dec_Projected_Pay]]*0.02</f>
        <v>443.12</v>
      </c>
      <c r="AX23" s="5">
        <v>600</v>
      </c>
      <c r="AY23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296864</v>
      </c>
      <c r="AZ23" s="59">
        <f>D23+H23+L23+P23+T23+X23+AB23+AF23+AJ23+AN23+AR23+AV23</f>
        <v>23749.119999999999</v>
      </c>
      <c r="BA23" s="59">
        <f>E23+I23+M23+Q23+U23+Y23+AC23+AG23+AK23+AO23+AS23+AW23</f>
        <v>5937.28</v>
      </c>
      <c r="BB23" s="59">
        <f>F23+J23+N23+R23+V23+Z23+AD23+AH23+AL23+AP23+AT23+AX23</f>
        <v>7200</v>
      </c>
    </row>
    <row r="24" spans="1:54" x14ac:dyDescent="0.3">
      <c r="A24" s="30" t="s">
        <v>84</v>
      </c>
      <c r="B24" t="s">
        <v>77</v>
      </c>
      <c r="C24" s="46">
        <v>13864</v>
      </c>
      <c r="D24" s="5">
        <f>Table1[[#This Row],[Jan_Projected_Pay]]*0.08</f>
        <v>1109.1200000000001</v>
      </c>
      <c r="E24" s="5">
        <f>Table1[[#This Row],[Jan_Projected_Pay]]*0.02</f>
        <v>277.28000000000003</v>
      </c>
      <c r="F24" s="5">
        <v>600</v>
      </c>
      <c r="G24" s="45">
        <v>26333</v>
      </c>
      <c r="H24" s="5">
        <f>Table1[[#This Row],[Feb_Projected_Pay]]*0.08</f>
        <v>2106.64</v>
      </c>
      <c r="I24" s="5">
        <f>Table1[[#This Row],[Feb_Projected_Pay]]*0.02</f>
        <v>526.66</v>
      </c>
      <c r="J24" s="5">
        <v>600</v>
      </c>
      <c r="K24" s="45">
        <v>24125</v>
      </c>
      <c r="L24" s="5">
        <f>Table1[[#This Row],[Mar_Projected_Pay]]*0.08</f>
        <v>1930</v>
      </c>
      <c r="M24" s="5">
        <f>Table1[[#This Row],[Mar_Projected_Pay]]*0.02</f>
        <v>482.5</v>
      </c>
      <c r="N24" s="5">
        <v>600</v>
      </c>
      <c r="O24" s="45">
        <v>26540</v>
      </c>
      <c r="P24" s="5">
        <f>Table1[[#This Row],[Apr_Projected_Pay]]*0.08</f>
        <v>2123.1999999999998</v>
      </c>
      <c r="Q24" s="5">
        <f>Table1[[#This Row],[Apr_Projected_Pay]]*0.02</f>
        <v>530.79999999999995</v>
      </c>
      <c r="R24" s="5">
        <v>600</v>
      </c>
      <c r="S24" s="45">
        <v>24198</v>
      </c>
      <c r="T24" s="5">
        <f>Table1[[#This Row],[May_Projected_Pay]]*0.08</f>
        <v>1935.8400000000001</v>
      </c>
      <c r="U24" s="5">
        <f>Table1[[#This Row],[May_Projected_Pay]]*0.02</f>
        <v>483.96000000000004</v>
      </c>
      <c r="V24" s="5">
        <v>600</v>
      </c>
      <c r="W24" s="45">
        <v>17509</v>
      </c>
      <c r="X24" s="5">
        <f>Table1[[#This Row],[Jun_Projected_Pay]]*0.08</f>
        <v>1400.72</v>
      </c>
      <c r="Y24" s="5">
        <f>Table1[[#This Row],[Jun_Projected_Pay]]*0.02</f>
        <v>350.18</v>
      </c>
      <c r="Z24" s="5">
        <v>600</v>
      </c>
      <c r="AA24" s="45">
        <v>29541</v>
      </c>
      <c r="AB24" s="5">
        <f>Table1[[#This Row],[Jul_Projected_Pay]]*0.08</f>
        <v>2363.2800000000002</v>
      </c>
      <c r="AC24" s="5">
        <f>Table1[[#This Row],[Jul_Projected_Pay]]*0.02</f>
        <v>590.82000000000005</v>
      </c>
      <c r="AD24" s="5">
        <v>600</v>
      </c>
      <c r="AE24" s="45">
        <v>22326</v>
      </c>
      <c r="AF24" s="5">
        <f>Table1[[#This Row],[Aug_Projected_Pay]]*0.08</f>
        <v>1786.08</v>
      </c>
      <c r="AG24" s="5">
        <f>Table1[[#This Row],[Aug_Projected_Pay]]*0.02</f>
        <v>446.52</v>
      </c>
      <c r="AH24" s="5">
        <v>600</v>
      </c>
      <c r="AI24" s="45">
        <v>24886.869381</v>
      </c>
      <c r="AJ24" s="5">
        <f>Table1[[#This Row],[Sep_Projected_Pay]]*0.08</f>
        <v>1990.94955048</v>
      </c>
      <c r="AK24" s="5">
        <f>Table1[[#This Row],[Sep_Projected_Pay]]*0.02</f>
        <v>497.73738761999999</v>
      </c>
      <c r="AL24" s="5">
        <v>600</v>
      </c>
      <c r="AM24" s="45">
        <v>14379.080087</v>
      </c>
      <c r="AN24" s="5">
        <f>Table1[[#This Row],[Oct_Projected_Pay]]*0.08</f>
        <v>1150.32640696</v>
      </c>
      <c r="AO24" s="5">
        <f>Table1[[#This Row],[Oct_Projected_Pay]]*0.02</f>
        <v>287.58160174</v>
      </c>
      <c r="AP24" s="5">
        <v>600</v>
      </c>
      <c r="AQ24" s="45">
        <v>21369</v>
      </c>
      <c r="AR24" s="5">
        <f>Table1[[#This Row],[Nov_Projected_Pay]]*0.08</f>
        <v>1709.52</v>
      </c>
      <c r="AS24" s="5">
        <f>Table1[[#This Row],[Nov_Projected_Pay]]*0.02</f>
        <v>427.38</v>
      </c>
      <c r="AT24" s="5">
        <v>600</v>
      </c>
      <c r="AU24" s="45">
        <v>17432</v>
      </c>
      <c r="AV24" s="5">
        <f>Table1[[#This Row],[Dec_Projected_Pay]]*0.08</f>
        <v>1394.56</v>
      </c>
      <c r="AW24" s="5">
        <f>Table1[[#This Row],[Dec_Projected_Pay]]*0.02</f>
        <v>348.64</v>
      </c>
      <c r="AX24" s="5">
        <v>600</v>
      </c>
      <c r="AY24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262502.94946799998</v>
      </c>
      <c r="AZ24" s="59">
        <f>D24+H24+L24+P24+T24+X24+AB24+AF24+AJ24+AN24+AR24+AV24</f>
        <v>21000.235957440003</v>
      </c>
      <c r="BA24" s="59">
        <f>E24+I24+M24+Q24+U24+Y24+AC24+AG24+AK24+AO24+AS24+AW24</f>
        <v>5250.0589893600009</v>
      </c>
      <c r="BB24" s="59">
        <f>F24+J24+N24+R24+V24+Z24+AD24+AH24+AL24+AP24+AT24+AX24</f>
        <v>7200</v>
      </c>
    </row>
    <row r="25" spans="1:54" x14ac:dyDescent="0.3">
      <c r="A25" t="s">
        <v>85</v>
      </c>
      <c r="B25" t="s">
        <v>77</v>
      </c>
      <c r="C25" s="46">
        <v>10350</v>
      </c>
      <c r="D25" s="5">
        <f>Table1[[#This Row],[Jan_Projected_Pay]]*0.08</f>
        <v>828</v>
      </c>
      <c r="E25" s="5">
        <f>Table1[[#This Row],[Jan_Projected_Pay]]*0.02</f>
        <v>207</v>
      </c>
      <c r="F25" s="5">
        <v>600</v>
      </c>
      <c r="G25" s="45">
        <v>14387</v>
      </c>
      <c r="H25" s="5">
        <f>Table1[[#This Row],[Feb_Projected_Pay]]*0.08</f>
        <v>1150.96</v>
      </c>
      <c r="I25" s="5">
        <f>Table1[[#This Row],[Feb_Projected_Pay]]*0.02</f>
        <v>287.74</v>
      </c>
      <c r="J25" s="5">
        <v>600</v>
      </c>
      <c r="K25" s="45">
        <v>7989</v>
      </c>
      <c r="L25" s="5">
        <f>Table1[[#This Row],[Mar_Projected_Pay]]*0.08</f>
        <v>639.12</v>
      </c>
      <c r="M25" s="5">
        <f>Table1[[#This Row],[Mar_Projected_Pay]]*0.02</f>
        <v>159.78</v>
      </c>
      <c r="N25" s="5">
        <v>600</v>
      </c>
      <c r="O25" s="45">
        <v>13994</v>
      </c>
      <c r="P25" s="5">
        <f>Table1[[#This Row],[Apr_Projected_Pay]]*0.08</f>
        <v>1119.52</v>
      </c>
      <c r="Q25" s="5">
        <f>Table1[[#This Row],[Apr_Projected_Pay]]*0.02</f>
        <v>279.88</v>
      </c>
      <c r="R25" s="5">
        <v>600</v>
      </c>
      <c r="S25" s="45">
        <v>14218.657818</v>
      </c>
      <c r="T25" s="5">
        <f>Table1[[#This Row],[May_Projected_Pay]]*0.08</f>
        <v>1137.49262544</v>
      </c>
      <c r="U25" s="5">
        <f>Table1[[#This Row],[May_Projected_Pay]]*0.02</f>
        <v>284.37315636</v>
      </c>
      <c r="V25" s="5">
        <v>600</v>
      </c>
      <c r="W25" s="45">
        <v>6991</v>
      </c>
      <c r="X25" s="5">
        <f>Table1[[#This Row],[Jun_Projected_Pay]]*0.08</f>
        <v>559.28</v>
      </c>
      <c r="Y25" s="5">
        <f>Table1[[#This Row],[Jun_Projected_Pay]]*0.02</f>
        <v>139.82</v>
      </c>
      <c r="Z25" s="5">
        <v>600</v>
      </c>
      <c r="AA25" s="45">
        <v>33960</v>
      </c>
      <c r="AB25" s="5">
        <f>Table1[[#This Row],[Jul_Projected_Pay]]*0.08</f>
        <v>2716.8</v>
      </c>
      <c r="AC25" s="5">
        <f>Table1[[#This Row],[Jul_Projected_Pay]]*0.02</f>
        <v>679.2</v>
      </c>
      <c r="AD25" s="5">
        <v>600</v>
      </c>
      <c r="AE25" s="45">
        <v>13944</v>
      </c>
      <c r="AF25" s="5">
        <f>Table1[[#This Row],[Aug_Projected_Pay]]*0.08</f>
        <v>1115.52</v>
      </c>
      <c r="AG25" s="5">
        <f>Table1[[#This Row],[Aug_Projected_Pay]]*0.02</f>
        <v>278.88</v>
      </c>
      <c r="AH25" s="5">
        <v>600</v>
      </c>
      <c r="AI25" s="45">
        <v>7001</v>
      </c>
      <c r="AJ25" s="5">
        <f>Table1[[#This Row],[Sep_Projected_Pay]]*0.08</f>
        <v>560.08000000000004</v>
      </c>
      <c r="AK25" s="5">
        <f>Table1[[#This Row],[Sep_Projected_Pay]]*0.02</f>
        <v>140.02000000000001</v>
      </c>
      <c r="AL25" s="5">
        <v>600</v>
      </c>
      <c r="AM25" s="45">
        <v>17267.726667999999</v>
      </c>
      <c r="AN25" s="5">
        <f>Table1[[#This Row],[Oct_Projected_Pay]]*0.08</f>
        <v>1381.41813344</v>
      </c>
      <c r="AO25" s="5">
        <f>Table1[[#This Row],[Oct_Projected_Pay]]*0.02</f>
        <v>345.35453336</v>
      </c>
      <c r="AP25" s="5">
        <v>600</v>
      </c>
      <c r="AQ25" s="45">
        <v>5747</v>
      </c>
      <c r="AR25" s="5">
        <f>Table1[[#This Row],[Nov_Projected_Pay]]*0.08</f>
        <v>459.76</v>
      </c>
      <c r="AS25" s="5">
        <f>Table1[[#This Row],[Nov_Projected_Pay]]*0.02</f>
        <v>114.94</v>
      </c>
      <c r="AT25" s="5">
        <v>600</v>
      </c>
      <c r="AU25" s="45">
        <v>6521</v>
      </c>
      <c r="AV25" s="5">
        <f>Table1[[#This Row],[Dec_Projected_Pay]]*0.08</f>
        <v>521.68000000000006</v>
      </c>
      <c r="AW25" s="5">
        <f>Table1[[#This Row],[Dec_Projected_Pay]]*0.02</f>
        <v>130.42000000000002</v>
      </c>
      <c r="AX25" s="5">
        <v>600</v>
      </c>
      <c r="AY25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152370.384486</v>
      </c>
      <c r="AZ25" s="59">
        <f>D25+H25+L25+P25+T25+X25+AB25+AF25+AJ25+AN25+AR25+AV25</f>
        <v>12189.630758880001</v>
      </c>
      <c r="BA25" s="59">
        <f>E25+I25+M25+Q25+U25+Y25+AC25+AG25+AK25+AO25+AS25+AW25</f>
        <v>3047.4076897200002</v>
      </c>
      <c r="BB25" s="59">
        <f>F25+J25+N25+R25+V25+Z25+AD25+AH25+AL25+AP25+AT25+AX25</f>
        <v>7200</v>
      </c>
    </row>
    <row r="26" spans="1:54" x14ac:dyDescent="0.3">
      <c r="A26" t="s">
        <v>86</v>
      </c>
      <c r="B26" t="s">
        <v>87</v>
      </c>
      <c r="C26" s="46">
        <v>22589</v>
      </c>
      <c r="D26" s="5">
        <f>Table1[[#This Row],[Jan_Projected_Pay]]*0.08</f>
        <v>1807.1200000000001</v>
      </c>
      <c r="E26" s="5">
        <f>Table1[[#This Row],[Jan_Projected_Pay]]*0.02</f>
        <v>451.78000000000003</v>
      </c>
      <c r="F26" s="5">
        <v>458</v>
      </c>
      <c r="G26" s="45">
        <v>12485</v>
      </c>
      <c r="H26" s="5">
        <f>Table1[[#This Row],[Feb_Projected_Pay]]*0.08</f>
        <v>998.80000000000007</v>
      </c>
      <c r="I26" s="5">
        <f>Table1[[#This Row],[Feb_Projected_Pay]]*0.02</f>
        <v>249.70000000000002</v>
      </c>
      <c r="J26" s="5">
        <v>458</v>
      </c>
      <c r="K26" s="45">
        <v>16899</v>
      </c>
      <c r="L26" s="5">
        <f>Table1[[#This Row],[Mar_Projected_Pay]]*0.08</f>
        <v>1351.92</v>
      </c>
      <c r="M26" s="5">
        <f>Table1[[#This Row],[Mar_Projected_Pay]]*0.02</f>
        <v>337.98</v>
      </c>
      <c r="N26" s="5">
        <v>458</v>
      </c>
      <c r="O26" s="45">
        <v>53458</v>
      </c>
      <c r="P26" s="5">
        <f>Table1[[#This Row],[Apr_Projected_Pay]]*0.08</f>
        <v>4276.6400000000003</v>
      </c>
      <c r="Q26" s="5">
        <f>Table1[[#This Row],[Apr_Projected_Pay]]*0.02</f>
        <v>1069.1600000000001</v>
      </c>
      <c r="R26" s="5">
        <v>458</v>
      </c>
      <c r="S26" s="45">
        <v>49438</v>
      </c>
      <c r="T26" s="5">
        <f>Table1[[#This Row],[May_Projected_Pay]]*0.08</f>
        <v>3955.04</v>
      </c>
      <c r="U26" s="5">
        <f>Table1[[#This Row],[May_Projected_Pay]]*0.02</f>
        <v>988.76</v>
      </c>
      <c r="V26" s="5">
        <v>458</v>
      </c>
      <c r="W26" s="45">
        <v>86566</v>
      </c>
      <c r="X26" s="5">
        <f>Table1[[#This Row],[Jun_Projected_Pay]]*0.08</f>
        <v>6925.28</v>
      </c>
      <c r="Y26" s="5">
        <f>Table1[[#This Row],[Jun_Projected_Pay]]*0.02</f>
        <v>1731.32</v>
      </c>
      <c r="Z26" s="5">
        <v>458</v>
      </c>
      <c r="AA26" s="45">
        <v>40733</v>
      </c>
      <c r="AB26" s="5">
        <f>Table1[[#This Row],[Jul_Projected_Pay]]*0.08</f>
        <v>3258.64</v>
      </c>
      <c r="AC26" s="5">
        <f>Table1[[#This Row],[Jul_Projected_Pay]]*0.02</f>
        <v>814.66</v>
      </c>
      <c r="AD26" s="5">
        <v>458</v>
      </c>
      <c r="AE26" s="45">
        <v>129588</v>
      </c>
      <c r="AF26" s="5">
        <f>Table1[[#This Row],[Aug_Projected_Pay]]*0.08</f>
        <v>10367.040000000001</v>
      </c>
      <c r="AG26" s="5">
        <f>Table1[[#This Row],[Aug_Projected_Pay]]*0.02</f>
        <v>2591.7600000000002</v>
      </c>
      <c r="AH26" s="5">
        <v>458</v>
      </c>
      <c r="AI26" s="45">
        <v>114836</v>
      </c>
      <c r="AJ26" s="5">
        <f>Table1[[#This Row],[Sep_Projected_Pay]]*0.08</f>
        <v>9186.880000000001</v>
      </c>
      <c r="AK26" s="5">
        <f>Table1[[#This Row],[Sep_Projected_Pay]]*0.02</f>
        <v>2296.7200000000003</v>
      </c>
      <c r="AL26" s="5">
        <v>458</v>
      </c>
      <c r="AM26" s="45">
        <v>33389</v>
      </c>
      <c r="AN26" s="5">
        <f>Table1[[#This Row],[Oct_Projected_Pay]]*0.08</f>
        <v>2671.12</v>
      </c>
      <c r="AO26" s="5">
        <f>Table1[[#This Row],[Oct_Projected_Pay]]*0.02</f>
        <v>667.78</v>
      </c>
      <c r="AP26" s="5">
        <v>458</v>
      </c>
      <c r="AQ26" s="45">
        <v>35842</v>
      </c>
      <c r="AR26" s="5">
        <f>Table1[[#This Row],[Nov_Projected_Pay]]*0.08</f>
        <v>2867.36</v>
      </c>
      <c r="AS26" s="5">
        <f>Table1[[#This Row],[Nov_Projected_Pay]]*0.02</f>
        <v>716.84</v>
      </c>
      <c r="AT26" s="5">
        <v>458</v>
      </c>
      <c r="AU26" s="45">
        <v>9477.7846160000008</v>
      </c>
      <c r="AV26" s="5">
        <f>Table1[[#This Row],[Dec_Projected_Pay]]*0.08</f>
        <v>758.22276928000008</v>
      </c>
      <c r="AW26" s="5">
        <f>Table1[[#This Row],[Dec_Projected_Pay]]*0.02</f>
        <v>189.55569232000002</v>
      </c>
      <c r="AX26" s="5">
        <v>458</v>
      </c>
      <c r="AY26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605300.78461600002</v>
      </c>
      <c r="AZ26" s="59">
        <f>D26+H26+L26+P26+T26+X26+AB26+AF26+AJ26+AN26+AR26+AV26</f>
        <v>48424.062769280004</v>
      </c>
      <c r="BA26" s="59">
        <f>E26+I26+M26+Q26+U26+Y26+AC26+AG26+AK26+AO26+AS26+AW26</f>
        <v>12106.015692320001</v>
      </c>
      <c r="BB26" s="59">
        <f>F26+J26+N26+R26+V26+Z26+AD26+AH26+AL26+AP26+AT26+AX26</f>
        <v>5496</v>
      </c>
    </row>
    <row r="27" spans="1:54" x14ac:dyDescent="0.3">
      <c r="A27" t="s">
        <v>88</v>
      </c>
      <c r="B27" t="s">
        <v>87</v>
      </c>
      <c r="C27" s="46">
        <v>19246</v>
      </c>
      <c r="D27" s="5">
        <f>Table1[[#This Row],[Jan_Projected_Pay]]*0.08</f>
        <v>1539.68</v>
      </c>
      <c r="E27" s="5">
        <f>Table1[[#This Row],[Jan_Projected_Pay]]*0.02</f>
        <v>384.92</v>
      </c>
      <c r="F27" s="5">
        <v>600</v>
      </c>
      <c r="G27" s="45">
        <v>12243.535311</v>
      </c>
      <c r="H27" s="5">
        <f>Table1[[#This Row],[Feb_Projected_Pay]]*0.08</f>
        <v>979.48282487999995</v>
      </c>
      <c r="I27" s="5">
        <f>Table1[[#This Row],[Feb_Projected_Pay]]*0.02</f>
        <v>244.87070621999999</v>
      </c>
      <c r="J27" s="5">
        <v>600</v>
      </c>
      <c r="K27" s="45">
        <v>14879</v>
      </c>
      <c r="L27" s="5">
        <f>Table1[[#This Row],[Mar_Projected_Pay]]*0.08</f>
        <v>1190.32</v>
      </c>
      <c r="M27" s="5">
        <f>Table1[[#This Row],[Mar_Projected_Pay]]*0.02</f>
        <v>297.58</v>
      </c>
      <c r="N27" s="5">
        <v>600</v>
      </c>
      <c r="O27" s="45">
        <v>41479.121163999996</v>
      </c>
      <c r="P27" s="5">
        <f>Table1[[#This Row],[Apr_Projected_Pay]]*0.08</f>
        <v>3318.3296931199998</v>
      </c>
      <c r="Q27" s="5">
        <f>Table1[[#This Row],[Apr_Projected_Pay]]*0.02</f>
        <v>829.58242327999994</v>
      </c>
      <c r="R27" s="5">
        <v>600</v>
      </c>
      <c r="S27" s="45">
        <v>43265</v>
      </c>
      <c r="T27" s="5">
        <f>Table1[[#This Row],[May_Projected_Pay]]*0.08</f>
        <v>3461.2000000000003</v>
      </c>
      <c r="U27" s="5">
        <f>Table1[[#This Row],[May_Projected_Pay]]*0.02</f>
        <v>865.30000000000007</v>
      </c>
      <c r="V27" s="5">
        <v>600</v>
      </c>
      <c r="W27" s="45">
        <v>33672</v>
      </c>
      <c r="X27" s="5">
        <f>Table1[[#This Row],[Jun_Projected_Pay]]*0.08</f>
        <v>2693.76</v>
      </c>
      <c r="Y27" s="5">
        <f>Table1[[#This Row],[Jun_Projected_Pay]]*0.02</f>
        <v>673.44</v>
      </c>
      <c r="Z27" s="5">
        <v>600</v>
      </c>
      <c r="AA27" s="45">
        <v>35461</v>
      </c>
      <c r="AB27" s="5">
        <f>Table1[[#This Row],[Jul_Projected_Pay]]*0.08</f>
        <v>2836.88</v>
      </c>
      <c r="AC27" s="5">
        <f>Table1[[#This Row],[Jul_Projected_Pay]]*0.02</f>
        <v>709.22</v>
      </c>
      <c r="AD27" s="5">
        <v>600</v>
      </c>
      <c r="AE27" s="45">
        <v>68913</v>
      </c>
      <c r="AF27" s="5">
        <f>Table1[[#This Row],[Aug_Projected_Pay]]*0.08</f>
        <v>5513.04</v>
      </c>
      <c r="AG27" s="5">
        <f>Table1[[#This Row],[Aug_Projected_Pay]]*0.02</f>
        <v>1378.26</v>
      </c>
      <c r="AH27" s="5">
        <v>600</v>
      </c>
      <c r="AI27" s="45">
        <v>56126</v>
      </c>
      <c r="AJ27" s="5">
        <f>Table1[[#This Row],[Sep_Projected_Pay]]*0.08</f>
        <v>4490.08</v>
      </c>
      <c r="AK27" s="5">
        <f>Table1[[#This Row],[Sep_Projected_Pay]]*0.02</f>
        <v>1122.52</v>
      </c>
      <c r="AL27" s="5">
        <v>600</v>
      </c>
      <c r="AM27" s="45">
        <v>48476</v>
      </c>
      <c r="AN27" s="5">
        <f>Table1[[#This Row],[Oct_Projected_Pay]]*0.08</f>
        <v>3878.08</v>
      </c>
      <c r="AO27" s="5">
        <f>Table1[[#This Row],[Oct_Projected_Pay]]*0.02</f>
        <v>969.52</v>
      </c>
      <c r="AP27" s="5">
        <v>600</v>
      </c>
      <c r="AQ27" s="45">
        <v>27435</v>
      </c>
      <c r="AR27" s="5">
        <f>Table1[[#This Row],[Nov_Projected_Pay]]*0.08</f>
        <v>2194.8000000000002</v>
      </c>
      <c r="AS27" s="5">
        <f>Table1[[#This Row],[Nov_Projected_Pay]]*0.02</f>
        <v>548.70000000000005</v>
      </c>
      <c r="AT27" s="5">
        <v>600</v>
      </c>
      <c r="AU27" s="45">
        <v>11944.631441</v>
      </c>
      <c r="AV27" s="5">
        <f>Table1[[#This Row],[Dec_Projected_Pay]]*0.08</f>
        <v>955.57051528</v>
      </c>
      <c r="AW27" s="5">
        <f>Table1[[#This Row],[Dec_Projected_Pay]]*0.02</f>
        <v>238.89262882</v>
      </c>
      <c r="AX27" s="5">
        <v>600</v>
      </c>
      <c r="AY27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413140.28791600006</v>
      </c>
      <c r="AZ27" s="59">
        <f>D27+H27+L27+P27+T27+X27+AB27+AF27+AJ27+AN27+AR27+AV27</f>
        <v>33051.223033279995</v>
      </c>
      <c r="BA27" s="59">
        <f>E27+I27+M27+Q27+U27+Y27+AC27+AG27+AK27+AO27+AS27+AW27</f>
        <v>8262.8057583199989</v>
      </c>
      <c r="BB27" s="59">
        <f>F27+J27+N27+R27+V27+Z27+AD27+AH27+AL27+AP27+AT27+AX27</f>
        <v>7200</v>
      </c>
    </row>
    <row r="28" spans="1:54" x14ac:dyDescent="0.3">
      <c r="A28" t="s">
        <v>89</v>
      </c>
      <c r="B28" t="s">
        <v>87</v>
      </c>
      <c r="C28" s="46">
        <v>17428</v>
      </c>
      <c r="D28" s="5">
        <f>Table1[[#This Row],[Jan_Projected_Pay]]*0.08</f>
        <v>1394.24</v>
      </c>
      <c r="E28" s="5">
        <f>Table1[[#This Row],[Jan_Projected_Pay]]*0.02</f>
        <v>348.56</v>
      </c>
      <c r="F28" s="5">
        <v>600</v>
      </c>
      <c r="G28" s="45">
        <v>15436</v>
      </c>
      <c r="H28" s="5">
        <f>Table1[[#This Row],[Feb_Projected_Pay]]*0.08</f>
        <v>1234.8800000000001</v>
      </c>
      <c r="I28" s="5">
        <f>Table1[[#This Row],[Feb_Projected_Pay]]*0.02</f>
        <v>308.72000000000003</v>
      </c>
      <c r="J28" s="5">
        <v>600</v>
      </c>
      <c r="K28" s="45">
        <v>15426</v>
      </c>
      <c r="L28" s="5">
        <f>Table1[[#This Row],[Mar_Projected_Pay]]*0.08</f>
        <v>1234.08</v>
      </c>
      <c r="M28" s="5">
        <f>Table1[[#This Row],[Mar_Projected_Pay]]*0.02</f>
        <v>308.52</v>
      </c>
      <c r="N28" s="5">
        <v>600</v>
      </c>
      <c r="O28" s="45">
        <v>13060</v>
      </c>
      <c r="P28" s="5">
        <f>Table1[[#This Row],[Apr_Projected_Pay]]*0.08</f>
        <v>1044.8</v>
      </c>
      <c r="Q28" s="5">
        <f>Table1[[#This Row],[Apr_Projected_Pay]]*0.02</f>
        <v>261.2</v>
      </c>
      <c r="R28" s="5">
        <v>600</v>
      </c>
      <c r="S28" s="45">
        <v>41020</v>
      </c>
      <c r="T28" s="5">
        <f>Table1[[#This Row],[May_Projected_Pay]]*0.08</f>
        <v>3281.6</v>
      </c>
      <c r="U28" s="5">
        <f>Table1[[#This Row],[May_Projected_Pay]]*0.02</f>
        <v>820.4</v>
      </c>
      <c r="V28" s="5">
        <v>600</v>
      </c>
      <c r="W28" s="45">
        <v>28507</v>
      </c>
      <c r="X28" s="5">
        <f>Table1[[#This Row],[Jun_Projected_Pay]]*0.08</f>
        <v>2280.56</v>
      </c>
      <c r="Y28" s="5">
        <f>Table1[[#This Row],[Jun_Projected_Pay]]*0.02</f>
        <v>570.14</v>
      </c>
      <c r="Z28" s="5">
        <v>600</v>
      </c>
      <c r="AA28" s="45">
        <v>32418</v>
      </c>
      <c r="AB28" s="5">
        <f>Table1[[#This Row],[Jul_Projected_Pay]]*0.08</f>
        <v>2593.44</v>
      </c>
      <c r="AC28" s="5">
        <f>Table1[[#This Row],[Jul_Projected_Pay]]*0.02</f>
        <v>648.36</v>
      </c>
      <c r="AD28" s="5">
        <v>600</v>
      </c>
      <c r="AE28" s="45">
        <v>28930</v>
      </c>
      <c r="AF28" s="5">
        <f>Table1[[#This Row],[Aug_Projected_Pay]]*0.08</f>
        <v>2314.4</v>
      </c>
      <c r="AG28" s="5">
        <f>Table1[[#This Row],[Aug_Projected_Pay]]*0.02</f>
        <v>578.6</v>
      </c>
      <c r="AH28" s="5">
        <v>600</v>
      </c>
      <c r="AI28" s="45">
        <v>110548</v>
      </c>
      <c r="AJ28" s="5">
        <f>Table1[[#This Row],[Sep_Projected_Pay]]*0.08</f>
        <v>8843.84</v>
      </c>
      <c r="AK28" s="5">
        <f>Table1[[#This Row],[Sep_Projected_Pay]]*0.02</f>
        <v>2210.96</v>
      </c>
      <c r="AL28" s="5">
        <v>600</v>
      </c>
      <c r="AM28" s="45">
        <v>18154</v>
      </c>
      <c r="AN28" s="5">
        <f>Table1[[#This Row],[Oct_Projected_Pay]]*0.08</f>
        <v>1452.32</v>
      </c>
      <c r="AO28" s="5">
        <f>Table1[[#This Row],[Oct_Projected_Pay]]*0.02</f>
        <v>363.08</v>
      </c>
      <c r="AP28" s="5">
        <v>600</v>
      </c>
      <c r="AQ28" s="45">
        <v>25478</v>
      </c>
      <c r="AR28" s="5">
        <f>Table1[[#This Row],[Nov_Projected_Pay]]*0.08</f>
        <v>2038.24</v>
      </c>
      <c r="AS28" s="5">
        <f>Table1[[#This Row],[Nov_Projected_Pay]]*0.02</f>
        <v>509.56</v>
      </c>
      <c r="AT28" s="5">
        <v>600</v>
      </c>
      <c r="AU28" s="45">
        <v>24732</v>
      </c>
      <c r="AV28" s="5">
        <f>Table1[[#This Row],[Dec_Projected_Pay]]*0.08</f>
        <v>1978.56</v>
      </c>
      <c r="AW28" s="5">
        <f>Table1[[#This Row],[Dec_Projected_Pay]]*0.02</f>
        <v>494.64</v>
      </c>
      <c r="AX28" s="5">
        <v>600</v>
      </c>
      <c r="AY28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371137</v>
      </c>
      <c r="AZ28" s="59">
        <f>D28+H28+L28+P28+T28+X28+AB28+AF28+AJ28+AN28+AR28+AV28</f>
        <v>29690.960000000003</v>
      </c>
      <c r="BA28" s="59">
        <f>E28+I28+M28+Q28+U28+Y28+AC28+AG28+AK28+AO28+AS28+AW28</f>
        <v>7422.7400000000007</v>
      </c>
      <c r="BB28" s="59">
        <f>F28+J28+N28+R28+V28+Z28+AD28+AH28+AL28+AP28+AT28+AX28</f>
        <v>7200</v>
      </c>
    </row>
    <row r="29" spans="1:54" x14ac:dyDescent="0.3">
      <c r="A29" t="s">
        <v>90</v>
      </c>
      <c r="B29" t="s">
        <v>87</v>
      </c>
      <c r="C29" s="46">
        <v>19874</v>
      </c>
      <c r="D29" s="5">
        <f>Table1[[#This Row],[Jan_Projected_Pay]]*0.08</f>
        <v>1589.92</v>
      </c>
      <c r="E29" s="5">
        <f>Table1[[#This Row],[Jan_Projected_Pay]]*0.02</f>
        <v>397.48</v>
      </c>
      <c r="F29" s="5">
        <v>600</v>
      </c>
      <c r="G29" s="45">
        <v>10655</v>
      </c>
      <c r="H29" s="5">
        <f>Table1[[#This Row],[Feb_Projected_Pay]]*0.08</f>
        <v>852.4</v>
      </c>
      <c r="I29" s="5">
        <f>Table1[[#This Row],[Feb_Projected_Pay]]*0.02</f>
        <v>213.1</v>
      </c>
      <c r="J29" s="5">
        <v>600</v>
      </c>
      <c r="K29" s="45">
        <v>20423</v>
      </c>
      <c r="L29" s="5">
        <f>Table1[[#This Row],[Mar_Projected_Pay]]*0.08</f>
        <v>1633.8400000000001</v>
      </c>
      <c r="M29" s="5">
        <f>Table1[[#This Row],[Mar_Projected_Pay]]*0.02</f>
        <v>408.46000000000004</v>
      </c>
      <c r="N29" s="5">
        <v>600</v>
      </c>
      <c r="O29" s="45">
        <v>41897</v>
      </c>
      <c r="P29" s="5">
        <f>Table1[[#This Row],[Apr_Projected_Pay]]*0.08</f>
        <v>3351.76</v>
      </c>
      <c r="Q29" s="5">
        <f>Table1[[#This Row],[Apr_Projected_Pay]]*0.02</f>
        <v>837.94</v>
      </c>
      <c r="R29" s="5">
        <v>600</v>
      </c>
      <c r="S29" s="45">
        <v>37884.351143</v>
      </c>
      <c r="T29" s="5">
        <f>Table1[[#This Row],[May_Projected_Pay]]*0.08</f>
        <v>3030.7480914399998</v>
      </c>
      <c r="U29" s="5">
        <f>Table1[[#This Row],[May_Projected_Pay]]*0.02</f>
        <v>757.68702285999996</v>
      </c>
      <c r="V29" s="5">
        <v>600</v>
      </c>
      <c r="W29" s="45">
        <v>17433</v>
      </c>
      <c r="X29" s="5">
        <f>Table1[[#This Row],[Jun_Projected_Pay]]*0.08</f>
        <v>1394.64</v>
      </c>
      <c r="Y29" s="5">
        <f>Table1[[#This Row],[Jun_Projected_Pay]]*0.02</f>
        <v>348.66</v>
      </c>
      <c r="Z29" s="5">
        <v>600</v>
      </c>
      <c r="AA29" s="45">
        <v>66710</v>
      </c>
      <c r="AB29" s="5">
        <f>Table1[[#This Row],[Jul_Projected_Pay]]*0.08</f>
        <v>5336.8</v>
      </c>
      <c r="AC29" s="5">
        <f>Table1[[#This Row],[Jul_Projected_Pay]]*0.02</f>
        <v>1334.2</v>
      </c>
      <c r="AD29" s="5">
        <v>600</v>
      </c>
      <c r="AE29" s="45">
        <v>74898</v>
      </c>
      <c r="AF29" s="5">
        <f>Table1[[#This Row],[Aug_Projected_Pay]]*0.08</f>
        <v>5991.84</v>
      </c>
      <c r="AG29" s="5">
        <f>Table1[[#This Row],[Aug_Projected_Pay]]*0.02</f>
        <v>1497.96</v>
      </c>
      <c r="AH29" s="5">
        <v>600</v>
      </c>
      <c r="AI29" s="45">
        <v>25177</v>
      </c>
      <c r="AJ29" s="5">
        <f>Table1[[#This Row],[Sep_Projected_Pay]]*0.08</f>
        <v>2014.16</v>
      </c>
      <c r="AK29" s="5">
        <f>Table1[[#This Row],[Sep_Projected_Pay]]*0.02</f>
        <v>503.54</v>
      </c>
      <c r="AL29" s="5">
        <v>600</v>
      </c>
      <c r="AM29" s="45">
        <v>49389</v>
      </c>
      <c r="AN29" s="5">
        <f>Table1[[#This Row],[Oct_Projected_Pay]]*0.08</f>
        <v>3951.12</v>
      </c>
      <c r="AO29" s="5">
        <f>Table1[[#This Row],[Oct_Projected_Pay]]*0.02</f>
        <v>987.78</v>
      </c>
      <c r="AP29" s="5">
        <v>600</v>
      </c>
      <c r="AQ29" s="45">
        <v>17584</v>
      </c>
      <c r="AR29" s="5">
        <f>Table1[[#This Row],[Nov_Projected_Pay]]*0.08</f>
        <v>1406.72</v>
      </c>
      <c r="AS29" s="5">
        <f>Table1[[#This Row],[Nov_Projected_Pay]]*0.02</f>
        <v>351.68</v>
      </c>
      <c r="AT29" s="5">
        <v>600</v>
      </c>
      <c r="AU29" s="45">
        <v>10249</v>
      </c>
      <c r="AV29" s="5">
        <f>Table1[[#This Row],[Dec_Projected_Pay]]*0.08</f>
        <v>819.92000000000007</v>
      </c>
      <c r="AW29" s="5">
        <f>Table1[[#This Row],[Dec_Projected_Pay]]*0.02</f>
        <v>204.98000000000002</v>
      </c>
      <c r="AX29" s="5">
        <v>600</v>
      </c>
      <c r="AY29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392173.35114300001</v>
      </c>
      <c r="AZ29" s="59">
        <f>D29+H29+L29+P29+T29+X29+AB29+AF29+AJ29+AN29+AR29+AV29</f>
        <v>31373.868091440003</v>
      </c>
      <c r="BA29" s="59">
        <f>E29+I29+M29+Q29+U29+Y29+AC29+AG29+AK29+AO29+AS29+AW29</f>
        <v>7843.4670228600007</v>
      </c>
      <c r="BB29" s="59">
        <f>F29+J29+N29+R29+V29+Z29+AD29+AH29+AL29+AP29+AT29+AX29</f>
        <v>7200</v>
      </c>
    </row>
    <row r="30" spans="1:54" x14ac:dyDescent="0.3">
      <c r="A30" t="s">
        <v>91</v>
      </c>
      <c r="B30" t="s">
        <v>92</v>
      </c>
      <c r="C30" s="46">
        <v>0</v>
      </c>
      <c r="D30" s="5">
        <f>Table1[[#This Row],[Jan_Projected_Pay]]*0.08</f>
        <v>0</v>
      </c>
      <c r="E30" s="5">
        <f>Table1[[#This Row],[Jan_Projected_Pay]]*0.02</f>
        <v>0</v>
      </c>
      <c r="F30" s="5">
        <v>600</v>
      </c>
      <c r="G30" s="45">
        <v>0</v>
      </c>
      <c r="H30" s="5">
        <f>Table1[[#This Row],[Feb_Projected_Pay]]*0.08</f>
        <v>0</v>
      </c>
      <c r="I30" s="5">
        <f>Table1[[#This Row],[Feb_Projected_Pay]]*0.02</f>
        <v>0</v>
      </c>
      <c r="J30" s="5">
        <v>600</v>
      </c>
      <c r="K30" s="45">
        <v>1659.1246249999999</v>
      </c>
      <c r="L30" s="5">
        <f>Table1[[#This Row],[Mar_Projected_Pay]]*0.08</f>
        <v>132.72997000000001</v>
      </c>
      <c r="M30" s="5">
        <f>Table1[[#This Row],[Mar_Projected_Pay]]*0.02</f>
        <v>33.182492500000002</v>
      </c>
      <c r="N30" s="5">
        <v>600</v>
      </c>
      <c r="O30" s="45">
        <v>15365</v>
      </c>
      <c r="P30" s="5">
        <f>Table1[[#This Row],[Apr_Projected_Pay]]*0.08</f>
        <v>1229.2</v>
      </c>
      <c r="Q30" s="5">
        <f>Table1[[#This Row],[Apr_Projected_Pay]]*0.02</f>
        <v>307.3</v>
      </c>
      <c r="R30" s="5">
        <v>600</v>
      </c>
      <c r="S30" s="45">
        <v>19212</v>
      </c>
      <c r="T30" s="5">
        <f>Table1[[#This Row],[May_Projected_Pay]]*0.08</f>
        <v>1536.96</v>
      </c>
      <c r="U30" s="5">
        <f>Table1[[#This Row],[May_Projected_Pay]]*0.02</f>
        <v>384.24</v>
      </c>
      <c r="V30" s="5">
        <v>600</v>
      </c>
      <c r="W30" s="45">
        <v>20944</v>
      </c>
      <c r="X30" s="5">
        <f>Table1[[#This Row],[Jun_Projected_Pay]]*0.08</f>
        <v>1675.52</v>
      </c>
      <c r="Y30" s="5">
        <f>Table1[[#This Row],[Jun_Projected_Pay]]*0.02</f>
        <v>418.88</v>
      </c>
      <c r="Z30" s="5">
        <v>600</v>
      </c>
      <c r="AA30" s="45">
        <v>15064</v>
      </c>
      <c r="AB30" s="5">
        <f>Table1[[#This Row],[Jul_Projected_Pay]]*0.08</f>
        <v>1205.1200000000001</v>
      </c>
      <c r="AC30" s="5">
        <f>Table1[[#This Row],[Jul_Projected_Pay]]*0.02</f>
        <v>301.28000000000003</v>
      </c>
      <c r="AD30" s="5">
        <v>600</v>
      </c>
      <c r="AE30" s="45">
        <v>15204</v>
      </c>
      <c r="AF30" s="5">
        <f>Table1[[#This Row],[Aug_Projected_Pay]]*0.08</f>
        <v>1216.32</v>
      </c>
      <c r="AG30" s="5">
        <f>Table1[[#This Row],[Aug_Projected_Pay]]*0.02</f>
        <v>304.08</v>
      </c>
      <c r="AH30" s="5">
        <v>600</v>
      </c>
      <c r="AI30" s="45">
        <v>21607</v>
      </c>
      <c r="AJ30" s="5">
        <f>Table1[[#This Row],[Sep_Projected_Pay]]*0.08</f>
        <v>1728.56</v>
      </c>
      <c r="AK30" s="5">
        <f>Table1[[#This Row],[Sep_Projected_Pay]]*0.02</f>
        <v>432.14</v>
      </c>
      <c r="AL30" s="5">
        <v>600</v>
      </c>
      <c r="AM30" s="45">
        <v>10635</v>
      </c>
      <c r="AN30" s="5">
        <f>Table1[[#This Row],[Oct_Projected_Pay]]*0.08</f>
        <v>850.80000000000007</v>
      </c>
      <c r="AO30" s="5">
        <f>Table1[[#This Row],[Oct_Projected_Pay]]*0.02</f>
        <v>212.70000000000002</v>
      </c>
      <c r="AP30" s="5">
        <v>600</v>
      </c>
      <c r="AQ30" s="45">
        <v>6500</v>
      </c>
      <c r="AR30" s="5">
        <f>Table1[[#This Row],[Nov_Projected_Pay]]*0.08</f>
        <v>520</v>
      </c>
      <c r="AS30" s="5">
        <f>Table1[[#This Row],[Nov_Projected_Pay]]*0.02</f>
        <v>130</v>
      </c>
      <c r="AT30" s="5">
        <v>600</v>
      </c>
      <c r="AU30" s="45">
        <v>904.97706800000003</v>
      </c>
      <c r="AV30" s="5">
        <f>Table1[[#This Row],[Dec_Projected_Pay]]*0.08</f>
        <v>72.39816544</v>
      </c>
      <c r="AW30" s="5">
        <f>Table1[[#This Row],[Dec_Projected_Pay]]*0.02</f>
        <v>18.09954136</v>
      </c>
      <c r="AX30" s="5">
        <v>600</v>
      </c>
      <c r="AY30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127095.101693</v>
      </c>
      <c r="AZ30" s="59">
        <f>D30+H30+L30+P30+T30+X30+AB30+AF30+AJ30+AN30+AR30+AV30</f>
        <v>10167.608135439999</v>
      </c>
      <c r="BA30" s="59">
        <f>E30+I30+M30+Q30+U30+Y30+AC30+AG30+AK30+AO30+AS30+AW30</f>
        <v>2541.9020338599998</v>
      </c>
      <c r="BB30" s="59">
        <f>F30+J30+N30+R30+V30+Z30+AD30+AH30+AL30+AP30+AT30+AX30</f>
        <v>7200</v>
      </c>
    </row>
    <row r="31" spans="1:54" x14ac:dyDescent="0.3">
      <c r="A31" s="30" t="s">
        <v>93</v>
      </c>
      <c r="B31" t="s">
        <v>94</v>
      </c>
      <c r="C31" s="46">
        <v>10520</v>
      </c>
      <c r="D31" s="5">
        <f>Table1[[#This Row],[Jan_Projected_Pay]]*0.08</f>
        <v>841.6</v>
      </c>
      <c r="E31" s="5">
        <f>Table1[[#This Row],[Jan_Projected_Pay]]*0.02</f>
        <v>210.4</v>
      </c>
      <c r="F31" s="5">
        <v>458</v>
      </c>
      <c r="G31" s="45">
        <v>265</v>
      </c>
      <c r="H31" s="5">
        <f>Table1[[#This Row],[Feb_Projected_Pay]]*0.08</f>
        <v>21.2</v>
      </c>
      <c r="I31" s="5">
        <f>Table1[[#This Row],[Feb_Projected_Pay]]*0.02</f>
        <v>5.3</v>
      </c>
      <c r="J31" s="5">
        <v>458</v>
      </c>
      <c r="K31" s="45">
        <v>4716</v>
      </c>
      <c r="L31" s="5">
        <f>Table1[[#This Row],[Mar_Projected_Pay]]*0.08</f>
        <v>377.28000000000003</v>
      </c>
      <c r="M31" s="5">
        <f>Table1[[#This Row],[Mar_Projected_Pay]]*0.02</f>
        <v>94.320000000000007</v>
      </c>
      <c r="N31" s="5">
        <v>458</v>
      </c>
      <c r="O31" s="45">
        <v>12048</v>
      </c>
      <c r="P31" s="5">
        <f>Table1[[#This Row],[Apr_Projected_Pay]]*0.08</f>
        <v>963.84</v>
      </c>
      <c r="Q31" s="5">
        <f>Table1[[#This Row],[Apr_Projected_Pay]]*0.02</f>
        <v>240.96</v>
      </c>
      <c r="R31" s="5">
        <v>458</v>
      </c>
      <c r="S31" s="45">
        <v>16371</v>
      </c>
      <c r="T31" s="5">
        <f>Table1[[#This Row],[May_Projected_Pay]]*0.08</f>
        <v>1309.68</v>
      </c>
      <c r="U31" s="5">
        <f>Table1[[#This Row],[May_Projected_Pay]]*0.02</f>
        <v>327.42</v>
      </c>
      <c r="V31" s="5">
        <v>458</v>
      </c>
      <c r="W31" s="45">
        <v>52108</v>
      </c>
      <c r="X31" s="5">
        <f>Table1[[#This Row],[Jun_Projected_Pay]]*0.08</f>
        <v>4168.6400000000003</v>
      </c>
      <c r="Y31" s="5">
        <f>Table1[[#This Row],[Jun_Projected_Pay]]*0.02</f>
        <v>1042.1600000000001</v>
      </c>
      <c r="Z31" s="5">
        <v>458</v>
      </c>
      <c r="AA31" s="45">
        <v>56152</v>
      </c>
      <c r="AB31" s="5">
        <f>Table1[[#This Row],[Jul_Projected_Pay]]*0.08</f>
        <v>4492.16</v>
      </c>
      <c r="AC31" s="5">
        <f>Table1[[#This Row],[Jul_Projected_Pay]]*0.02</f>
        <v>1123.04</v>
      </c>
      <c r="AD31" s="5">
        <v>458</v>
      </c>
      <c r="AE31" s="45">
        <v>32976</v>
      </c>
      <c r="AF31" s="5">
        <f>Table1[[#This Row],[Aug_Projected_Pay]]*0.08</f>
        <v>2638.08</v>
      </c>
      <c r="AG31" s="5">
        <f>Table1[[#This Row],[Aug_Projected_Pay]]*0.02</f>
        <v>659.52</v>
      </c>
      <c r="AH31" s="5">
        <v>458</v>
      </c>
      <c r="AI31" s="45">
        <v>42881</v>
      </c>
      <c r="AJ31" s="5">
        <f>Table1[[#This Row],[Sep_Projected_Pay]]*0.08</f>
        <v>3430.48</v>
      </c>
      <c r="AK31" s="5">
        <f>Table1[[#This Row],[Sep_Projected_Pay]]*0.02</f>
        <v>857.62</v>
      </c>
      <c r="AL31" s="5">
        <v>458</v>
      </c>
      <c r="AM31" s="45">
        <v>29520</v>
      </c>
      <c r="AN31" s="5">
        <f>Table1[[#This Row],[Oct_Projected_Pay]]*0.08</f>
        <v>2361.6</v>
      </c>
      <c r="AO31" s="5">
        <f>Table1[[#This Row],[Oct_Projected_Pay]]*0.02</f>
        <v>590.4</v>
      </c>
      <c r="AP31" s="5">
        <v>458</v>
      </c>
      <c r="AQ31" s="45">
        <v>20231</v>
      </c>
      <c r="AR31" s="5">
        <f>Table1[[#This Row],[Nov_Projected_Pay]]*0.08</f>
        <v>1618.48</v>
      </c>
      <c r="AS31" s="5">
        <f>Table1[[#This Row],[Nov_Projected_Pay]]*0.02</f>
        <v>404.62</v>
      </c>
      <c r="AT31" s="5">
        <v>458</v>
      </c>
      <c r="AU31" s="45">
        <v>17240</v>
      </c>
      <c r="AV31" s="5">
        <f>Table1[[#This Row],[Dec_Projected_Pay]]*0.08</f>
        <v>1379.2</v>
      </c>
      <c r="AW31" s="5">
        <f>Table1[[#This Row],[Dec_Projected_Pay]]*0.02</f>
        <v>344.8</v>
      </c>
      <c r="AX31" s="5">
        <v>458</v>
      </c>
      <c r="AY31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295028</v>
      </c>
      <c r="AZ31" s="59">
        <f>D31+H31+L31+P31+T31+X31+AB31+AF31+AJ31+AN31+AR31+AV31</f>
        <v>23602.240000000002</v>
      </c>
      <c r="BA31" s="59">
        <f>E31+I31+M31+Q31+U31+Y31+AC31+AG31+AK31+AO31+AS31+AW31</f>
        <v>5900.56</v>
      </c>
      <c r="BB31" s="59">
        <f>F31+J31+N31+R31+V31+Z31+AD31+AH31+AL31+AP31+AT31+AX31</f>
        <v>5496</v>
      </c>
    </row>
    <row r="32" spans="1:54" x14ac:dyDescent="0.3">
      <c r="A32" t="s">
        <v>95</v>
      </c>
      <c r="B32" t="s">
        <v>94</v>
      </c>
      <c r="C32" s="46">
        <v>9650</v>
      </c>
      <c r="D32" s="5">
        <f>Table1[[#This Row],[Jan_Projected_Pay]]*0.08</f>
        <v>772</v>
      </c>
      <c r="E32" s="5">
        <f>Table1[[#This Row],[Jan_Projected_Pay]]*0.02</f>
        <v>193</v>
      </c>
      <c r="F32" s="5">
        <v>600</v>
      </c>
      <c r="G32" s="45">
        <v>0</v>
      </c>
      <c r="H32" s="5">
        <f>Table1[[#This Row],[Feb_Projected_Pay]]*0.08</f>
        <v>0</v>
      </c>
      <c r="I32" s="5">
        <f>Table1[[#This Row],[Feb_Projected_Pay]]*0.02</f>
        <v>0</v>
      </c>
      <c r="J32" s="5">
        <v>600</v>
      </c>
      <c r="K32" s="45">
        <v>1922.5735050000001</v>
      </c>
      <c r="L32" s="5">
        <f>Table1[[#This Row],[Mar_Projected_Pay]]*0.08</f>
        <v>153.80588040000001</v>
      </c>
      <c r="M32" s="5">
        <f>Table1[[#This Row],[Mar_Projected_Pay]]*0.02</f>
        <v>38.451470100000002</v>
      </c>
      <c r="N32" s="5">
        <v>600</v>
      </c>
      <c r="O32" s="45">
        <v>1680</v>
      </c>
      <c r="P32" s="5">
        <f>Table1[[#This Row],[Apr_Projected_Pay]]*0.08</f>
        <v>134.4</v>
      </c>
      <c r="Q32" s="5">
        <f>Table1[[#This Row],[Apr_Projected_Pay]]*0.02</f>
        <v>33.6</v>
      </c>
      <c r="R32" s="5">
        <v>600</v>
      </c>
      <c r="S32" s="45">
        <v>13306</v>
      </c>
      <c r="T32" s="5">
        <f>Table1[[#This Row],[May_Projected_Pay]]*0.08</f>
        <v>1064.48</v>
      </c>
      <c r="U32" s="5">
        <f>Table1[[#This Row],[May_Projected_Pay]]*0.02</f>
        <v>266.12</v>
      </c>
      <c r="V32" s="5">
        <v>600</v>
      </c>
      <c r="W32" s="45">
        <v>20858</v>
      </c>
      <c r="X32" s="5">
        <f>Table1[[#This Row],[Jun_Projected_Pay]]*0.08</f>
        <v>1668.64</v>
      </c>
      <c r="Y32" s="5">
        <f>Table1[[#This Row],[Jun_Projected_Pay]]*0.02</f>
        <v>417.16</v>
      </c>
      <c r="Z32" s="5">
        <v>600</v>
      </c>
      <c r="AA32" s="45">
        <v>45841</v>
      </c>
      <c r="AB32" s="5">
        <f>Table1[[#This Row],[Jul_Projected_Pay]]*0.08</f>
        <v>3667.28</v>
      </c>
      <c r="AC32" s="5">
        <f>Table1[[#This Row],[Jul_Projected_Pay]]*0.02</f>
        <v>916.82</v>
      </c>
      <c r="AD32" s="5">
        <v>600</v>
      </c>
      <c r="AE32" s="45">
        <v>41696</v>
      </c>
      <c r="AF32" s="5">
        <f>Table1[[#This Row],[Aug_Projected_Pay]]*0.08</f>
        <v>3335.6800000000003</v>
      </c>
      <c r="AG32" s="5">
        <f>Table1[[#This Row],[Aug_Projected_Pay]]*0.02</f>
        <v>833.92000000000007</v>
      </c>
      <c r="AH32" s="5">
        <v>600</v>
      </c>
      <c r="AI32" s="45">
        <v>57957</v>
      </c>
      <c r="AJ32" s="5">
        <f>Table1[[#This Row],[Sep_Projected_Pay]]*0.08</f>
        <v>4636.5600000000004</v>
      </c>
      <c r="AK32" s="5">
        <f>Table1[[#This Row],[Sep_Projected_Pay]]*0.02</f>
        <v>1159.1400000000001</v>
      </c>
      <c r="AL32" s="5">
        <v>600</v>
      </c>
      <c r="AM32" s="45">
        <v>35899</v>
      </c>
      <c r="AN32" s="5">
        <f>Table1[[#This Row],[Oct_Projected_Pay]]*0.08</f>
        <v>2871.92</v>
      </c>
      <c r="AO32" s="5">
        <f>Table1[[#This Row],[Oct_Projected_Pay]]*0.02</f>
        <v>717.98</v>
      </c>
      <c r="AP32" s="5">
        <v>600</v>
      </c>
      <c r="AQ32" s="45">
        <v>9660</v>
      </c>
      <c r="AR32" s="5">
        <f>Table1[[#This Row],[Nov_Projected_Pay]]*0.08</f>
        <v>772.80000000000007</v>
      </c>
      <c r="AS32" s="5">
        <f>Table1[[#This Row],[Nov_Projected_Pay]]*0.02</f>
        <v>193.20000000000002</v>
      </c>
      <c r="AT32" s="5">
        <v>600</v>
      </c>
      <c r="AU32" s="45">
        <v>12532</v>
      </c>
      <c r="AV32" s="5">
        <f>Table1[[#This Row],[Dec_Projected_Pay]]*0.08</f>
        <v>1002.5600000000001</v>
      </c>
      <c r="AW32" s="5">
        <f>Table1[[#This Row],[Dec_Projected_Pay]]*0.02</f>
        <v>250.64000000000001</v>
      </c>
      <c r="AX32" s="5">
        <v>600</v>
      </c>
      <c r="AY32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251001.57350500001</v>
      </c>
      <c r="AZ32" s="59">
        <f>D32+H32+L32+P32+T32+X32+AB32+AF32+AJ32+AN32+AR32+AV32</f>
        <v>20080.125880400003</v>
      </c>
      <c r="BA32" s="59">
        <f>E32+I32+M32+Q32+U32+Y32+AC32+AG32+AK32+AO32+AS32+AW32</f>
        <v>5020.0314701000007</v>
      </c>
      <c r="BB32" s="59">
        <f>F32+J32+N32+R32+V32+Z32+AD32+AH32+AL32+AP32+AT32+AX32</f>
        <v>7200</v>
      </c>
    </row>
    <row r="33" spans="1:54" x14ac:dyDescent="0.3">
      <c r="A33" t="s">
        <v>96</v>
      </c>
      <c r="B33" t="s">
        <v>94</v>
      </c>
      <c r="C33" s="46">
        <v>0</v>
      </c>
      <c r="D33" s="5">
        <f>Table1[[#This Row],[Jan_Projected_Pay]]*0.08</f>
        <v>0</v>
      </c>
      <c r="E33" s="5">
        <f>Table1[[#This Row],[Jan_Projected_Pay]]*0.02</f>
        <v>0</v>
      </c>
      <c r="F33" s="5">
        <v>600</v>
      </c>
      <c r="G33" s="45">
        <v>0</v>
      </c>
      <c r="H33" s="5">
        <f>Table1[[#This Row],[Feb_Projected_Pay]]*0.08</f>
        <v>0</v>
      </c>
      <c r="I33" s="5">
        <f>Table1[[#This Row],[Feb_Projected_Pay]]*0.02</f>
        <v>0</v>
      </c>
      <c r="J33" s="5">
        <v>600</v>
      </c>
      <c r="K33" s="45">
        <v>2420</v>
      </c>
      <c r="L33" s="5">
        <f>Table1[[#This Row],[Mar_Projected_Pay]]*0.08</f>
        <v>193.6</v>
      </c>
      <c r="M33" s="5">
        <f>Table1[[#This Row],[Mar_Projected_Pay]]*0.02</f>
        <v>48.4</v>
      </c>
      <c r="N33" s="5">
        <v>600</v>
      </c>
      <c r="O33" s="45">
        <v>6644</v>
      </c>
      <c r="P33" s="5">
        <f>Table1[[#This Row],[Apr_Projected_Pay]]*0.08</f>
        <v>531.52</v>
      </c>
      <c r="Q33" s="5">
        <f>Table1[[#This Row],[Apr_Projected_Pay]]*0.02</f>
        <v>132.88</v>
      </c>
      <c r="R33" s="5">
        <v>600</v>
      </c>
      <c r="S33" s="45">
        <v>13123</v>
      </c>
      <c r="T33" s="5">
        <f>Table1[[#This Row],[May_Projected_Pay]]*0.08</f>
        <v>1049.8399999999999</v>
      </c>
      <c r="U33" s="5">
        <f>Table1[[#This Row],[May_Projected_Pay]]*0.02</f>
        <v>262.45999999999998</v>
      </c>
      <c r="V33" s="5">
        <v>600</v>
      </c>
      <c r="W33" s="45">
        <v>27077</v>
      </c>
      <c r="X33" s="5">
        <f>Table1[[#This Row],[Jun_Projected_Pay]]*0.08</f>
        <v>2166.16</v>
      </c>
      <c r="Y33" s="5">
        <f>Table1[[#This Row],[Jun_Projected_Pay]]*0.02</f>
        <v>541.54</v>
      </c>
      <c r="Z33" s="5">
        <v>600</v>
      </c>
      <c r="AA33" s="45">
        <v>37637</v>
      </c>
      <c r="AB33" s="5">
        <f>Table1[[#This Row],[Jul_Projected_Pay]]*0.08</f>
        <v>3010.96</v>
      </c>
      <c r="AC33" s="5">
        <f>Table1[[#This Row],[Jul_Projected_Pay]]*0.02</f>
        <v>752.74</v>
      </c>
      <c r="AD33" s="5">
        <v>600</v>
      </c>
      <c r="AE33" s="45">
        <v>38471.359491000003</v>
      </c>
      <c r="AF33" s="5">
        <f>Table1[[#This Row],[Aug_Projected_Pay]]*0.08</f>
        <v>3077.7087592800003</v>
      </c>
      <c r="AG33" s="5">
        <f>Table1[[#This Row],[Aug_Projected_Pay]]*0.02</f>
        <v>769.42718982000008</v>
      </c>
      <c r="AH33" s="5">
        <v>600</v>
      </c>
      <c r="AI33" s="45">
        <v>18824</v>
      </c>
      <c r="AJ33" s="5">
        <f>Table1[[#This Row],[Sep_Projected_Pay]]*0.08</f>
        <v>1505.92</v>
      </c>
      <c r="AK33" s="5">
        <f>Table1[[#This Row],[Sep_Projected_Pay]]*0.02</f>
        <v>376.48</v>
      </c>
      <c r="AL33" s="5">
        <v>600</v>
      </c>
      <c r="AM33" s="45">
        <v>13252</v>
      </c>
      <c r="AN33" s="5">
        <f>Table1[[#This Row],[Oct_Projected_Pay]]*0.08</f>
        <v>1060.1600000000001</v>
      </c>
      <c r="AO33" s="5">
        <f>Table1[[#This Row],[Oct_Projected_Pay]]*0.02</f>
        <v>265.04000000000002</v>
      </c>
      <c r="AP33" s="5">
        <v>600</v>
      </c>
      <c r="AQ33" s="45">
        <v>31110</v>
      </c>
      <c r="AR33" s="5">
        <f>Table1[[#This Row],[Nov_Projected_Pay]]*0.08</f>
        <v>2488.8000000000002</v>
      </c>
      <c r="AS33" s="5">
        <f>Table1[[#This Row],[Nov_Projected_Pay]]*0.02</f>
        <v>622.20000000000005</v>
      </c>
      <c r="AT33" s="5">
        <v>600</v>
      </c>
      <c r="AU33" s="45">
        <v>12036</v>
      </c>
      <c r="AV33" s="5">
        <f>Table1[[#This Row],[Dec_Projected_Pay]]*0.08</f>
        <v>962.88</v>
      </c>
      <c r="AW33" s="5">
        <f>Table1[[#This Row],[Dec_Projected_Pay]]*0.02</f>
        <v>240.72</v>
      </c>
      <c r="AX33" s="5">
        <v>600</v>
      </c>
      <c r="AY33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200594.35949100001</v>
      </c>
      <c r="AZ33" s="59">
        <f>D33+H33+L33+P33+T33+X33+AB33+AF33+AJ33+AN33+AR33+AV33</f>
        <v>16047.54875928</v>
      </c>
      <c r="BA33" s="59">
        <f>E33+I33+M33+Q33+U33+Y33+AC33+AG33+AK33+AO33+AS33+AW33</f>
        <v>4011.88718982</v>
      </c>
      <c r="BB33" s="59">
        <f>F33+J33+N33+R33+V33+Z33+AD33+AH33+AL33+AP33+AT33+AX33</f>
        <v>7200</v>
      </c>
    </row>
    <row r="34" spans="1:54" x14ac:dyDescent="0.3">
      <c r="A34" t="s">
        <v>97</v>
      </c>
      <c r="B34" t="s">
        <v>94</v>
      </c>
      <c r="C34" s="46">
        <v>380.29465900000002</v>
      </c>
      <c r="D34" s="5">
        <f>Table1[[#This Row],[Jan_Projected_Pay]]*0.08</f>
        <v>30.423572720000003</v>
      </c>
      <c r="E34" s="5">
        <f>Table1[[#This Row],[Jan_Projected_Pay]]*0.02</f>
        <v>7.6058931800000007</v>
      </c>
      <c r="F34" s="5">
        <v>600</v>
      </c>
      <c r="G34" s="45">
        <v>0</v>
      </c>
      <c r="H34" s="5">
        <f>Table1[[#This Row],[Feb_Projected_Pay]]*0.08</f>
        <v>0</v>
      </c>
      <c r="I34" s="5">
        <f>Table1[[#This Row],[Feb_Projected_Pay]]*0.02</f>
        <v>0</v>
      </c>
      <c r="J34" s="5">
        <v>600</v>
      </c>
      <c r="K34" s="45">
        <v>4282</v>
      </c>
      <c r="L34" s="5">
        <f>Table1[[#This Row],[Mar_Projected_Pay]]*0.08</f>
        <v>342.56</v>
      </c>
      <c r="M34" s="5">
        <f>Table1[[#This Row],[Mar_Projected_Pay]]*0.02</f>
        <v>85.64</v>
      </c>
      <c r="N34" s="5">
        <v>600</v>
      </c>
      <c r="O34" s="45">
        <v>5865</v>
      </c>
      <c r="P34" s="5">
        <f>Table1[[#This Row],[Apr_Projected_Pay]]*0.08</f>
        <v>469.2</v>
      </c>
      <c r="Q34" s="5">
        <f>Table1[[#This Row],[Apr_Projected_Pay]]*0.02</f>
        <v>117.3</v>
      </c>
      <c r="R34" s="5">
        <v>600</v>
      </c>
      <c r="S34" s="45">
        <v>9654</v>
      </c>
      <c r="T34" s="5">
        <f>Table1[[#This Row],[May_Projected_Pay]]*0.08</f>
        <v>772.32</v>
      </c>
      <c r="U34" s="5">
        <f>Table1[[#This Row],[May_Projected_Pay]]*0.02</f>
        <v>193.08</v>
      </c>
      <c r="V34" s="5">
        <v>600</v>
      </c>
      <c r="W34" s="45">
        <v>14652</v>
      </c>
      <c r="X34" s="5">
        <f>Table1[[#This Row],[Jun_Projected_Pay]]*0.08</f>
        <v>1172.1600000000001</v>
      </c>
      <c r="Y34" s="5">
        <f>Table1[[#This Row],[Jun_Projected_Pay]]*0.02</f>
        <v>293.04000000000002</v>
      </c>
      <c r="Z34" s="5">
        <v>600</v>
      </c>
      <c r="AA34" s="45">
        <v>31975.856415999999</v>
      </c>
      <c r="AB34" s="5">
        <f>Table1[[#This Row],[Jul_Projected_Pay]]*0.08</f>
        <v>2558.0685132799999</v>
      </c>
      <c r="AC34" s="5">
        <f>Table1[[#This Row],[Jul_Projected_Pay]]*0.02</f>
        <v>639.51712831999998</v>
      </c>
      <c r="AD34" s="5">
        <v>600</v>
      </c>
      <c r="AE34" s="45">
        <v>15424</v>
      </c>
      <c r="AF34" s="5">
        <f>Table1[[#This Row],[Aug_Projected_Pay]]*0.08</f>
        <v>1233.92</v>
      </c>
      <c r="AG34" s="5">
        <f>Table1[[#This Row],[Aug_Projected_Pay]]*0.02</f>
        <v>308.48</v>
      </c>
      <c r="AH34" s="5">
        <v>600</v>
      </c>
      <c r="AI34" s="45">
        <v>16253</v>
      </c>
      <c r="AJ34" s="5">
        <f>Table1[[#This Row],[Sep_Projected_Pay]]*0.08</f>
        <v>1300.24</v>
      </c>
      <c r="AK34" s="5">
        <f>Table1[[#This Row],[Sep_Projected_Pay]]*0.02</f>
        <v>325.06</v>
      </c>
      <c r="AL34" s="5">
        <v>600</v>
      </c>
      <c r="AM34" s="45">
        <v>13252</v>
      </c>
      <c r="AN34" s="5">
        <f>Table1[[#This Row],[Oct_Projected_Pay]]*0.08</f>
        <v>1060.1600000000001</v>
      </c>
      <c r="AO34" s="5">
        <f>Table1[[#This Row],[Oct_Projected_Pay]]*0.02</f>
        <v>265.04000000000002</v>
      </c>
      <c r="AP34" s="5">
        <v>600</v>
      </c>
      <c r="AQ34" s="45">
        <v>8221</v>
      </c>
      <c r="AR34" s="5">
        <f>Table1[[#This Row],[Nov_Projected_Pay]]*0.08</f>
        <v>657.68000000000006</v>
      </c>
      <c r="AS34" s="5">
        <f>Table1[[#This Row],[Nov_Projected_Pay]]*0.02</f>
        <v>164.42000000000002</v>
      </c>
      <c r="AT34" s="5">
        <v>600</v>
      </c>
      <c r="AU34" s="45">
        <v>9150.3236909999996</v>
      </c>
      <c r="AV34" s="5">
        <f>Table1[[#This Row],[Dec_Projected_Pay]]*0.08</f>
        <v>732.02589527999999</v>
      </c>
      <c r="AW34" s="5">
        <f>Table1[[#This Row],[Dec_Projected_Pay]]*0.02</f>
        <v>183.00647382</v>
      </c>
      <c r="AX34" s="5">
        <v>600</v>
      </c>
      <c r="AY34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129109.474766</v>
      </c>
      <c r="AZ34" s="59">
        <f>D34+H34+L34+P34+T34+X34+AB34+AF34+AJ34+AN34+AR34+AV34</f>
        <v>10328.75798128</v>
      </c>
      <c r="BA34" s="59">
        <f>E34+I34+M34+Q34+U34+Y34+AC34+AG34+AK34+AO34+AS34+AW34</f>
        <v>2582.1894953199999</v>
      </c>
      <c r="BB34" s="59">
        <f>F34+J34+N34+R34+V34+Z34+AD34+AH34+AL34+AP34+AT34+AX34</f>
        <v>7200</v>
      </c>
    </row>
    <row r="35" spans="1:54" x14ac:dyDescent="0.3">
      <c r="A35" s="3" t="s">
        <v>98</v>
      </c>
      <c r="B35" t="s">
        <v>99</v>
      </c>
      <c r="C35" s="46">
        <v>0</v>
      </c>
      <c r="D35" s="5">
        <f>Table1[[#This Row],[Jan_Projected_Pay]]*0.08</f>
        <v>0</v>
      </c>
      <c r="E35" s="5">
        <f>Table1[[#This Row],[Jan_Projected_Pay]]*0.02</f>
        <v>0</v>
      </c>
      <c r="F35" s="5">
        <v>458</v>
      </c>
      <c r="G35" s="45">
        <v>0</v>
      </c>
      <c r="H35" s="5">
        <f>Table1[[#This Row],[Feb_Projected_Pay]]*0.08</f>
        <v>0</v>
      </c>
      <c r="I35" s="5">
        <f>Table1[[#This Row],[Feb_Projected_Pay]]*0.02</f>
        <v>0</v>
      </c>
      <c r="J35" s="5">
        <v>458</v>
      </c>
      <c r="K35" s="45">
        <v>0</v>
      </c>
      <c r="L35" s="5">
        <f>Table1[[#This Row],[Mar_Projected_Pay]]*0.08</f>
        <v>0</v>
      </c>
      <c r="M35" s="5">
        <f>Table1[[#This Row],[Mar_Projected_Pay]]*0.02</f>
        <v>0</v>
      </c>
      <c r="N35" s="5">
        <v>458</v>
      </c>
      <c r="O35" s="45">
        <v>0</v>
      </c>
      <c r="P35" s="5">
        <f>Table1[[#This Row],[Apr_Projected_Pay]]*0.08</f>
        <v>0</v>
      </c>
      <c r="Q35" s="5">
        <f>Table1[[#This Row],[Apr_Projected_Pay]]*0.02</f>
        <v>0</v>
      </c>
      <c r="R35" s="5">
        <v>458</v>
      </c>
      <c r="S35" s="45">
        <v>0</v>
      </c>
      <c r="T35" s="5">
        <f>Table1[[#This Row],[May_Projected_Pay]]*0.08</f>
        <v>0</v>
      </c>
      <c r="U35" s="5">
        <f>Table1[[#This Row],[May_Projected_Pay]]*0.02</f>
        <v>0</v>
      </c>
      <c r="V35" s="5">
        <v>458</v>
      </c>
      <c r="W35" s="45">
        <v>0</v>
      </c>
      <c r="X35" s="5">
        <f>Table1[[#This Row],[Jun_Projected_Pay]]*0.08</f>
        <v>0</v>
      </c>
      <c r="Y35" s="5">
        <f>Table1[[#This Row],[Jun_Projected_Pay]]*0.02</f>
        <v>0</v>
      </c>
      <c r="Z35" s="5">
        <v>458</v>
      </c>
      <c r="AA35" s="45">
        <v>0</v>
      </c>
      <c r="AB35" s="5">
        <f>Table1[[#This Row],[Jul_Projected_Pay]]*0.08</f>
        <v>0</v>
      </c>
      <c r="AC35" s="5">
        <f>Table1[[#This Row],[Jul_Projected_Pay]]*0.02</f>
        <v>0</v>
      </c>
      <c r="AD35" s="5">
        <v>458</v>
      </c>
      <c r="AE35" s="45">
        <v>0</v>
      </c>
      <c r="AF35" s="5">
        <f>Table1[[#This Row],[Aug_Projected_Pay]]*0.08</f>
        <v>0</v>
      </c>
      <c r="AG35" s="5">
        <f>Table1[[#This Row],[Aug_Projected_Pay]]*0.02</f>
        <v>0</v>
      </c>
      <c r="AH35" s="5">
        <v>458</v>
      </c>
      <c r="AI35" s="45">
        <v>0</v>
      </c>
      <c r="AJ35" s="5">
        <f>Table1[[#This Row],[Sep_Projected_Pay]]*0.08</f>
        <v>0</v>
      </c>
      <c r="AK35" s="5">
        <f>Table1[[#This Row],[Sep_Projected_Pay]]*0.02</f>
        <v>0</v>
      </c>
      <c r="AL35" s="5">
        <v>458</v>
      </c>
      <c r="AM35" s="45">
        <v>0</v>
      </c>
      <c r="AN35" s="5">
        <f>Table1[[#This Row],[Oct_Projected_Pay]]*0.08</f>
        <v>0</v>
      </c>
      <c r="AO35" s="5">
        <f>Table1[[#This Row],[Oct_Projected_Pay]]*0.02</f>
        <v>0</v>
      </c>
      <c r="AP35" s="5">
        <v>458</v>
      </c>
      <c r="AQ35" s="45">
        <v>0</v>
      </c>
      <c r="AR35" s="5">
        <f>Table1[[#This Row],[Nov_Projected_Pay]]*0.08</f>
        <v>0</v>
      </c>
      <c r="AS35" s="5">
        <f>Table1[[#This Row],[Nov_Projected_Pay]]*0.02</f>
        <v>0</v>
      </c>
      <c r="AT35" s="5">
        <v>458</v>
      </c>
      <c r="AU35" s="45">
        <v>0</v>
      </c>
      <c r="AV35" s="5">
        <f>Table1[[#This Row],[Dec_Projected_Pay]]*0.08</f>
        <v>0</v>
      </c>
      <c r="AW35" s="5">
        <f>Table1[[#This Row],[Dec_Projected_Pay]]*0.02</f>
        <v>0</v>
      </c>
      <c r="AX35" s="5">
        <v>458</v>
      </c>
      <c r="AY35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0</v>
      </c>
      <c r="AZ35" s="59">
        <f>D35+H35+L35+P35+T35+X35+AB35+AF35+AJ35+AN35+AR35+AV35</f>
        <v>0</v>
      </c>
      <c r="BA35" s="59">
        <f>E35+I35+M35+Q35+U35+Y35+AC35+AG35+AK35+AO35+AS35+AW35</f>
        <v>0</v>
      </c>
      <c r="BB35" s="59">
        <f>F35+J35+N35+R35+V35+Z35+AD35+AH35+AL35+AP35+AT35+AX35</f>
        <v>5496</v>
      </c>
    </row>
    <row r="36" spans="1:54" x14ac:dyDescent="0.3">
      <c r="A36" s="3" t="s">
        <v>100</v>
      </c>
      <c r="B36" t="s">
        <v>101</v>
      </c>
      <c r="C36" s="46">
        <v>0</v>
      </c>
      <c r="D36" s="5">
        <f>Table1[[#This Row],[Jan_Projected_Pay]]*0.08</f>
        <v>0</v>
      </c>
      <c r="E36" s="5">
        <f>Table1[[#This Row],[Jan_Projected_Pay]]*0.02</f>
        <v>0</v>
      </c>
      <c r="F36" s="5">
        <v>0</v>
      </c>
      <c r="G36" s="45">
        <v>0</v>
      </c>
      <c r="H36" s="5">
        <f>Table1[[#This Row],[Feb_Projected_Pay]]*0.08</f>
        <v>0</v>
      </c>
      <c r="I36" s="5">
        <f>Table1[[#This Row],[Feb_Projected_Pay]]*0.02</f>
        <v>0</v>
      </c>
      <c r="J36" s="5">
        <v>0</v>
      </c>
      <c r="K36" s="45">
        <v>0</v>
      </c>
      <c r="L36" s="5">
        <f>Table1[[#This Row],[Mar_Projected_Pay]]*0.08</f>
        <v>0</v>
      </c>
      <c r="M36" s="5">
        <f>Table1[[#This Row],[Mar_Projected_Pay]]*0.02</f>
        <v>0</v>
      </c>
      <c r="N36" s="5">
        <v>0</v>
      </c>
      <c r="O36" s="45">
        <v>0</v>
      </c>
      <c r="P36" s="5">
        <f>Table1[[#This Row],[Apr_Projected_Pay]]*0.08</f>
        <v>0</v>
      </c>
      <c r="Q36" s="5">
        <f>Table1[[#This Row],[Apr_Projected_Pay]]*0.02</f>
        <v>0</v>
      </c>
      <c r="R36" s="5">
        <v>0</v>
      </c>
      <c r="S36" s="45">
        <v>0</v>
      </c>
      <c r="T36" s="5">
        <f>Table1[[#This Row],[May_Projected_Pay]]*0.08</f>
        <v>0</v>
      </c>
      <c r="U36" s="5">
        <f>Table1[[#This Row],[May_Projected_Pay]]*0.02</f>
        <v>0</v>
      </c>
      <c r="V36" s="5">
        <v>0</v>
      </c>
      <c r="W36" s="45">
        <v>0</v>
      </c>
      <c r="X36" s="5">
        <f>Table1[[#This Row],[Jun_Projected_Pay]]*0.08</f>
        <v>0</v>
      </c>
      <c r="Y36" s="5">
        <f>Table1[[#This Row],[Jun_Projected_Pay]]*0.02</f>
        <v>0</v>
      </c>
      <c r="Z36" s="5">
        <v>0</v>
      </c>
      <c r="AA36" s="45">
        <v>0</v>
      </c>
      <c r="AB36" s="5">
        <f>Table1[[#This Row],[Jul_Projected_Pay]]*0.08</f>
        <v>0</v>
      </c>
      <c r="AC36" s="5">
        <f>Table1[[#This Row],[Jul_Projected_Pay]]*0.02</f>
        <v>0</v>
      </c>
      <c r="AD36" s="5">
        <v>0</v>
      </c>
      <c r="AE36" s="45">
        <v>0</v>
      </c>
      <c r="AF36" s="5">
        <f>Table1[[#This Row],[Aug_Projected_Pay]]*0.08</f>
        <v>0</v>
      </c>
      <c r="AG36" s="5">
        <f>Table1[[#This Row],[Aug_Projected_Pay]]*0.02</f>
        <v>0</v>
      </c>
      <c r="AH36" s="5">
        <v>0</v>
      </c>
      <c r="AI36" s="45">
        <v>0</v>
      </c>
      <c r="AJ36" s="5">
        <f>Table1[[#This Row],[Sep_Projected_Pay]]*0.08</f>
        <v>0</v>
      </c>
      <c r="AK36" s="5">
        <f>Table1[[#This Row],[Sep_Projected_Pay]]*0.02</f>
        <v>0</v>
      </c>
      <c r="AL36" s="5">
        <v>0</v>
      </c>
      <c r="AM36" s="45">
        <v>0</v>
      </c>
      <c r="AN36" s="5">
        <f>Table1[[#This Row],[Oct_Projected_Pay]]*0.08</f>
        <v>0</v>
      </c>
      <c r="AO36" s="5">
        <f>Table1[[#This Row],[Oct_Projected_Pay]]*0.02</f>
        <v>0</v>
      </c>
      <c r="AP36" s="5">
        <v>0</v>
      </c>
      <c r="AQ36" s="45">
        <v>0</v>
      </c>
      <c r="AR36" s="5">
        <f>Table1[[#This Row],[Nov_Projected_Pay]]*0.08</f>
        <v>0</v>
      </c>
      <c r="AS36" s="5">
        <f>Table1[[#This Row],[Nov_Projected_Pay]]*0.02</f>
        <v>0</v>
      </c>
      <c r="AT36" s="5">
        <v>0</v>
      </c>
      <c r="AU36" s="45">
        <v>0</v>
      </c>
      <c r="AV36" s="5">
        <f>Table1[[#This Row],[Dec_Projected_Pay]]*0.08</f>
        <v>0</v>
      </c>
      <c r="AW36" s="5">
        <f>Table1[[#This Row],[Dec_Projected_Pay]]*0.02</f>
        <v>0</v>
      </c>
      <c r="AX36" s="5">
        <v>0</v>
      </c>
      <c r="AY36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0</v>
      </c>
      <c r="AZ36" s="59">
        <f>D36+H36+L36+P36+T36+X36+AB36+AF36+AJ36+AN36+AR36+AV36</f>
        <v>0</v>
      </c>
      <c r="BA36" s="59">
        <f>E36+I36+M36+Q36+U36+Y36+AC36+AG36+AK36+AO36+AS36+AW36</f>
        <v>0</v>
      </c>
      <c r="BB36" s="59">
        <f>F36+J36+N36+R36+V36+Z36+AD36+AH36+AL36+AP36+AT36+AX36</f>
        <v>0</v>
      </c>
    </row>
    <row r="37" spans="1:54" x14ac:dyDescent="0.3">
      <c r="A37" s="7" t="s">
        <v>102</v>
      </c>
      <c r="B37" t="s">
        <v>103</v>
      </c>
      <c r="C37" s="46">
        <v>15377</v>
      </c>
      <c r="D37" s="5">
        <f>Table1[[#This Row],[Jan_Projected_Pay]]*0.08</f>
        <v>1230.1600000000001</v>
      </c>
      <c r="E37" s="5">
        <f>Table1[[#This Row],[Jan_Projected_Pay]]*0.02</f>
        <v>307.54000000000002</v>
      </c>
      <c r="F37" s="5">
        <v>458</v>
      </c>
      <c r="G37" s="45">
        <v>2143</v>
      </c>
      <c r="H37" s="5">
        <f>Table1[[#This Row],[Feb_Projected_Pay]]*0.08</f>
        <v>171.44</v>
      </c>
      <c r="I37" s="5">
        <f>Table1[[#This Row],[Feb_Projected_Pay]]*0.02</f>
        <v>42.86</v>
      </c>
      <c r="J37" s="5">
        <v>458</v>
      </c>
      <c r="K37" s="45">
        <v>10929</v>
      </c>
      <c r="L37" s="5">
        <f>Table1[[#This Row],[Mar_Projected_Pay]]*0.08</f>
        <v>874.32</v>
      </c>
      <c r="M37" s="5">
        <f>Table1[[#This Row],[Mar_Projected_Pay]]*0.02</f>
        <v>218.58</v>
      </c>
      <c r="N37" s="5">
        <v>458</v>
      </c>
      <c r="O37" s="45">
        <v>17273</v>
      </c>
      <c r="P37" s="5">
        <f>Table1[[#This Row],[Apr_Projected_Pay]]*0.08</f>
        <v>1381.84</v>
      </c>
      <c r="Q37" s="5">
        <f>Table1[[#This Row],[Apr_Projected_Pay]]*0.02</f>
        <v>345.46</v>
      </c>
      <c r="R37" s="5">
        <v>458</v>
      </c>
      <c r="S37" s="45">
        <v>34359</v>
      </c>
      <c r="T37" s="5">
        <f>Table1[[#This Row],[May_Projected_Pay]]*0.08</f>
        <v>2748.7200000000003</v>
      </c>
      <c r="U37" s="5">
        <f>Table1[[#This Row],[May_Projected_Pay]]*0.02</f>
        <v>687.18000000000006</v>
      </c>
      <c r="V37" s="5">
        <v>458</v>
      </c>
      <c r="W37" s="45">
        <v>24801</v>
      </c>
      <c r="X37" s="5">
        <f>Table1[[#This Row],[Jun_Projected_Pay]]*0.08</f>
        <v>1984.0800000000002</v>
      </c>
      <c r="Y37" s="5">
        <f>Table1[[#This Row],[Jun_Projected_Pay]]*0.02</f>
        <v>496.02000000000004</v>
      </c>
      <c r="Z37" s="5">
        <v>458</v>
      </c>
      <c r="AA37" s="45">
        <v>36234</v>
      </c>
      <c r="AB37" s="5">
        <f>Table1[[#This Row],[Jul_Projected_Pay]]*0.08</f>
        <v>2898.7200000000003</v>
      </c>
      <c r="AC37" s="5">
        <f>Table1[[#This Row],[Jul_Projected_Pay]]*0.02</f>
        <v>724.68000000000006</v>
      </c>
      <c r="AD37" s="5">
        <v>458</v>
      </c>
      <c r="AE37" s="45">
        <v>46221</v>
      </c>
      <c r="AF37" s="5">
        <f>Table1[[#This Row],[Aug_Projected_Pay]]*0.08</f>
        <v>3697.6800000000003</v>
      </c>
      <c r="AG37" s="5">
        <f>Table1[[#This Row],[Aug_Projected_Pay]]*0.02</f>
        <v>924.42000000000007</v>
      </c>
      <c r="AH37" s="5">
        <v>458</v>
      </c>
      <c r="AI37" s="45">
        <v>31729.762986000002</v>
      </c>
      <c r="AJ37" s="5">
        <f>Table1[[#This Row],[Sep_Projected_Pay]]*0.08</f>
        <v>2538.3810388800002</v>
      </c>
      <c r="AK37" s="5">
        <f>Table1[[#This Row],[Sep_Projected_Pay]]*0.02</f>
        <v>634.59525972000006</v>
      </c>
      <c r="AL37" s="5">
        <v>458</v>
      </c>
      <c r="AM37" s="45">
        <v>19799</v>
      </c>
      <c r="AN37" s="5">
        <f>Table1[[#This Row],[Oct_Projected_Pay]]*0.08</f>
        <v>1583.92</v>
      </c>
      <c r="AO37" s="5">
        <f>Table1[[#This Row],[Oct_Projected_Pay]]*0.02</f>
        <v>395.98</v>
      </c>
      <c r="AP37" s="5">
        <v>458</v>
      </c>
      <c r="AQ37" s="45">
        <v>14203</v>
      </c>
      <c r="AR37" s="5">
        <f>Table1[[#This Row],[Nov_Projected_Pay]]*0.08</f>
        <v>1136.24</v>
      </c>
      <c r="AS37" s="5">
        <f>Table1[[#This Row],[Nov_Projected_Pay]]*0.02</f>
        <v>284.06</v>
      </c>
      <c r="AT37" s="5">
        <v>458</v>
      </c>
      <c r="AU37" s="45">
        <v>8717</v>
      </c>
      <c r="AV37" s="5">
        <f>Table1[[#This Row],[Dec_Projected_Pay]]*0.08</f>
        <v>697.36</v>
      </c>
      <c r="AW37" s="5">
        <f>Table1[[#This Row],[Dec_Projected_Pay]]*0.02</f>
        <v>174.34</v>
      </c>
      <c r="AX37" s="5">
        <v>458</v>
      </c>
      <c r="AY37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261785.76298599999</v>
      </c>
      <c r="AZ37" s="59">
        <f>D37+H37+L37+P37+T37+X37+AB37+AF37+AJ37+AN37+AR37+AV37</f>
        <v>20942.861038880004</v>
      </c>
      <c r="BA37" s="59">
        <f>E37+I37+M37+Q37+U37+Y37+AC37+AG37+AK37+AO37+AS37+AW37</f>
        <v>5235.7152597200011</v>
      </c>
      <c r="BB37" s="59">
        <f>F37+J37+N37+R37+V37+Z37+AD37+AH37+AL37+AP37+AT37+AX37</f>
        <v>5496</v>
      </c>
    </row>
    <row r="38" spans="1:54" x14ac:dyDescent="0.3">
      <c r="A38" t="s">
        <v>104</v>
      </c>
      <c r="B38" t="s">
        <v>105</v>
      </c>
      <c r="C38" s="46">
        <v>267133</v>
      </c>
      <c r="D38" s="5">
        <f>Table1[[#This Row],[Jan_Projected_Pay]]*0.08</f>
        <v>21370.639999999999</v>
      </c>
      <c r="E38" s="5">
        <f>Table1[[#This Row],[Jan_Projected_Pay]]*0.02</f>
        <v>5342.66</v>
      </c>
      <c r="F38" s="5">
        <v>458</v>
      </c>
      <c r="G38" s="45">
        <v>16931</v>
      </c>
      <c r="H38" s="5">
        <f>Table1[[#This Row],[Feb_Projected_Pay]]*0.08</f>
        <v>1354.48</v>
      </c>
      <c r="I38" s="5">
        <f>Table1[[#This Row],[Feb_Projected_Pay]]*0.02</f>
        <v>338.62</v>
      </c>
      <c r="J38" s="5">
        <v>458</v>
      </c>
      <c r="K38" s="45">
        <v>21278</v>
      </c>
      <c r="L38" s="5">
        <f>Table1[[#This Row],[Mar_Projected_Pay]]*0.08</f>
        <v>1702.24</v>
      </c>
      <c r="M38" s="5">
        <f>Table1[[#This Row],[Mar_Projected_Pay]]*0.02</f>
        <v>425.56</v>
      </c>
      <c r="N38" s="5">
        <v>458</v>
      </c>
      <c r="O38" s="45">
        <v>24568</v>
      </c>
      <c r="P38" s="5">
        <f>Table1[[#This Row],[Apr_Projected_Pay]]*0.08</f>
        <v>1965.44</v>
      </c>
      <c r="Q38" s="5">
        <f>Table1[[#This Row],[Apr_Projected_Pay]]*0.02</f>
        <v>491.36</v>
      </c>
      <c r="R38" s="5">
        <v>458</v>
      </c>
      <c r="S38" s="45">
        <v>14165</v>
      </c>
      <c r="T38" s="5">
        <f>Table1[[#This Row],[May_Projected_Pay]]*0.08</f>
        <v>1133.2</v>
      </c>
      <c r="U38" s="5">
        <f>Table1[[#This Row],[May_Projected_Pay]]*0.02</f>
        <v>283.3</v>
      </c>
      <c r="V38" s="5">
        <v>458</v>
      </c>
      <c r="W38" s="45">
        <v>11805</v>
      </c>
      <c r="X38" s="5">
        <f>Table1[[#This Row],[Jun_Projected_Pay]]*0.08</f>
        <v>944.4</v>
      </c>
      <c r="Y38" s="5">
        <f>Table1[[#This Row],[Jun_Projected_Pay]]*0.02</f>
        <v>236.1</v>
      </c>
      <c r="Z38" s="5">
        <v>458</v>
      </c>
      <c r="AA38" s="45">
        <v>88766</v>
      </c>
      <c r="AB38" s="5">
        <f>Table1[[#This Row],[Jul_Projected_Pay]]*0.08</f>
        <v>7101.28</v>
      </c>
      <c r="AC38" s="5">
        <f>Table1[[#This Row],[Jul_Projected_Pay]]*0.02</f>
        <v>1775.32</v>
      </c>
      <c r="AD38" s="5">
        <v>458</v>
      </c>
      <c r="AE38" s="45">
        <v>40820</v>
      </c>
      <c r="AF38" s="5">
        <f>Table1[[#This Row],[Aug_Projected_Pay]]*0.08</f>
        <v>3265.6</v>
      </c>
      <c r="AG38" s="5">
        <f>Table1[[#This Row],[Aug_Projected_Pay]]*0.02</f>
        <v>816.4</v>
      </c>
      <c r="AH38" s="5">
        <v>458</v>
      </c>
      <c r="AI38" s="45">
        <v>8191.4502110000003</v>
      </c>
      <c r="AJ38" s="5">
        <f>Table1[[#This Row],[Sep_Projected_Pay]]*0.08</f>
        <v>655.31601688000001</v>
      </c>
      <c r="AK38" s="5">
        <f>Table1[[#This Row],[Sep_Projected_Pay]]*0.02</f>
        <v>163.82900422</v>
      </c>
      <c r="AL38" s="5">
        <v>458</v>
      </c>
      <c r="AM38" s="45">
        <v>19587</v>
      </c>
      <c r="AN38" s="5">
        <f>Table1[[#This Row],[Oct_Projected_Pay]]*0.08</f>
        <v>1566.96</v>
      </c>
      <c r="AO38" s="5">
        <f>Table1[[#This Row],[Oct_Projected_Pay]]*0.02</f>
        <v>391.74</v>
      </c>
      <c r="AP38" s="5">
        <v>458</v>
      </c>
      <c r="AQ38" s="45">
        <v>36887</v>
      </c>
      <c r="AR38" s="5">
        <f>Table1[[#This Row],[Nov_Projected_Pay]]*0.08</f>
        <v>2950.96</v>
      </c>
      <c r="AS38" s="5">
        <f>Table1[[#This Row],[Nov_Projected_Pay]]*0.02</f>
        <v>737.74</v>
      </c>
      <c r="AT38" s="5">
        <v>458</v>
      </c>
      <c r="AU38" s="45">
        <v>7835</v>
      </c>
      <c r="AV38" s="5">
        <f>Table1[[#This Row],[Dec_Projected_Pay]]*0.08</f>
        <v>626.80000000000007</v>
      </c>
      <c r="AW38" s="5">
        <f>Table1[[#This Row],[Dec_Projected_Pay]]*0.02</f>
        <v>156.70000000000002</v>
      </c>
      <c r="AX38" s="5">
        <v>458</v>
      </c>
      <c r="AY38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557966.45021099993</v>
      </c>
      <c r="AZ38" s="59">
        <f>D38+H38+L38+P38+T38+X38+AB38+AF38+AJ38+AN38+AR38+AV38</f>
        <v>44637.316016880002</v>
      </c>
      <c r="BA38" s="59">
        <f>E38+I38+M38+Q38+U38+Y38+AC38+AG38+AK38+AO38+AS38+AW38</f>
        <v>11159.329004220001</v>
      </c>
      <c r="BB38" s="59">
        <f>F38+J38+N38+R38+V38+Z38+AD38+AH38+AL38+AP38+AT38+AX38</f>
        <v>5496</v>
      </c>
    </row>
    <row r="39" spans="1:54" x14ac:dyDescent="0.3">
      <c r="A39" s="42" t="s">
        <v>106</v>
      </c>
      <c r="B39" t="s">
        <v>107</v>
      </c>
      <c r="C39" s="46">
        <v>0</v>
      </c>
      <c r="D39" s="5">
        <f>Table1[[#This Row],[Jan_Projected_Pay]]*0.08</f>
        <v>0</v>
      </c>
      <c r="E39" s="5">
        <f>Table1[[#This Row],[Jan_Projected_Pay]]*0.02</f>
        <v>0</v>
      </c>
      <c r="F39" s="5">
        <v>600</v>
      </c>
      <c r="G39" s="45">
        <v>0</v>
      </c>
      <c r="H39" s="5">
        <f>Table1[[#This Row],[Feb_Projected_Pay]]*0.08</f>
        <v>0</v>
      </c>
      <c r="I39" s="5">
        <f>Table1[[#This Row],[Feb_Projected_Pay]]*0.02</f>
        <v>0</v>
      </c>
      <c r="J39" s="5">
        <v>600</v>
      </c>
      <c r="K39" s="45">
        <v>12799</v>
      </c>
      <c r="L39" s="5">
        <f>Table1[[#This Row],[Mar_Projected_Pay]]*0.08</f>
        <v>1023.9200000000001</v>
      </c>
      <c r="M39" s="5">
        <f>Table1[[#This Row],[Mar_Projected_Pay]]*0.02</f>
        <v>255.98000000000002</v>
      </c>
      <c r="N39" s="5">
        <v>600</v>
      </c>
      <c r="O39" s="45">
        <v>20487</v>
      </c>
      <c r="P39" s="5">
        <f>Table1[[#This Row],[Apr_Projected_Pay]]*0.08</f>
        <v>1638.96</v>
      </c>
      <c r="Q39" s="5">
        <f>Table1[[#This Row],[Apr_Projected_Pay]]*0.02</f>
        <v>409.74</v>
      </c>
      <c r="R39" s="5">
        <v>600</v>
      </c>
      <c r="S39" s="45">
        <v>28465</v>
      </c>
      <c r="T39" s="5">
        <f>Table1[[#This Row],[May_Projected_Pay]]*0.08</f>
        <v>2277.2000000000003</v>
      </c>
      <c r="U39" s="5">
        <f>Table1[[#This Row],[May_Projected_Pay]]*0.02</f>
        <v>569.30000000000007</v>
      </c>
      <c r="V39" s="5">
        <v>600</v>
      </c>
      <c r="W39" s="45">
        <v>39556</v>
      </c>
      <c r="X39" s="5">
        <f>Table1[[#This Row],[Jun_Projected_Pay]]*0.08</f>
        <v>3164.48</v>
      </c>
      <c r="Y39" s="5">
        <f>Table1[[#This Row],[Jun_Projected_Pay]]*0.02</f>
        <v>791.12</v>
      </c>
      <c r="Z39" s="5">
        <v>600</v>
      </c>
      <c r="AA39" s="45">
        <v>54982</v>
      </c>
      <c r="AB39" s="5">
        <f>Table1[[#This Row],[Jul_Projected_Pay]]*0.08</f>
        <v>4398.5600000000004</v>
      </c>
      <c r="AC39" s="5">
        <f>Table1[[#This Row],[Jul_Projected_Pay]]*0.02</f>
        <v>1099.6400000000001</v>
      </c>
      <c r="AD39" s="5">
        <v>600</v>
      </c>
      <c r="AE39" s="45">
        <v>16494</v>
      </c>
      <c r="AF39" s="5">
        <f>Table1[[#This Row],[Aug_Projected_Pay]]*0.08</f>
        <v>1319.52</v>
      </c>
      <c r="AG39" s="5">
        <f>Table1[[#This Row],[Aug_Projected_Pay]]*0.02</f>
        <v>329.88</v>
      </c>
      <c r="AH39" s="5">
        <v>600</v>
      </c>
      <c r="AI39" s="45">
        <v>24723</v>
      </c>
      <c r="AJ39" s="5">
        <f>Table1[[#This Row],[Sep_Projected_Pay]]*0.08</f>
        <v>1977.8400000000001</v>
      </c>
      <c r="AK39" s="5">
        <f>Table1[[#This Row],[Sep_Projected_Pay]]*0.02</f>
        <v>494.46000000000004</v>
      </c>
      <c r="AL39" s="5">
        <v>600</v>
      </c>
      <c r="AM39" s="45">
        <v>19877</v>
      </c>
      <c r="AN39" s="5">
        <f>Table1[[#This Row],[Oct_Projected_Pay]]*0.08</f>
        <v>1590.16</v>
      </c>
      <c r="AO39" s="5">
        <f>Table1[[#This Row],[Oct_Projected_Pay]]*0.02</f>
        <v>397.54</v>
      </c>
      <c r="AP39" s="5">
        <v>600</v>
      </c>
      <c r="AQ39" s="45">
        <v>20085</v>
      </c>
      <c r="AR39" s="5">
        <f>Table1[[#This Row],[Nov_Projected_Pay]]*0.08</f>
        <v>1606.8</v>
      </c>
      <c r="AS39" s="5">
        <f>Table1[[#This Row],[Nov_Projected_Pay]]*0.02</f>
        <v>401.7</v>
      </c>
      <c r="AT39" s="5">
        <v>600</v>
      </c>
      <c r="AU39" s="45">
        <v>6844.7010570777793</v>
      </c>
      <c r="AV39" s="5">
        <f>Table1[[#This Row],[Dec_Projected_Pay]]*0.08</f>
        <v>547.57608456622233</v>
      </c>
      <c r="AW39" s="5">
        <f>Table1[[#This Row],[Dec_Projected_Pay]]*0.02</f>
        <v>136.89402114155558</v>
      </c>
      <c r="AX39" s="5">
        <v>600</v>
      </c>
      <c r="AY39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244312.70105707779</v>
      </c>
      <c r="AZ39" s="59">
        <f>D39+H39+L39+P39+T39+X39+AB39+AF39+AJ39+AN39+AR39+AV39</f>
        <v>19545.016084566221</v>
      </c>
      <c r="BA39" s="59">
        <f>E39+I39+M39+Q39+U39+Y39+AC39+AG39+AK39+AO39+AS39+AW39</f>
        <v>4886.2540211415553</v>
      </c>
      <c r="BB39" s="59">
        <f>F39+J39+N39+R39+V39+Z39+AD39+AH39+AL39+AP39+AT39+AX39</f>
        <v>7200</v>
      </c>
    </row>
    <row r="40" spans="1:54" x14ac:dyDescent="0.3">
      <c r="A40" s="30" t="s">
        <v>108</v>
      </c>
      <c r="B40" t="s">
        <v>109</v>
      </c>
      <c r="C40" s="46">
        <v>1844.023758</v>
      </c>
      <c r="D40" s="5">
        <f>Table1[[#This Row],[Jan_Projected_Pay]]*0.08</f>
        <v>147.52190064000001</v>
      </c>
      <c r="E40" s="5">
        <f>Table1[[#This Row],[Jan_Projected_Pay]]*0.02</f>
        <v>36.880475160000003</v>
      </c>
      <c r="F40" s="5">
        <v>650</v>
      </c>
      <c r="G40" s="45">
        <v>1844.023758</v>
      </c>
      <c r="H40" s="5">
        <f>Table1[[#This Row],[Feb_Projected_Pay]]*0.08</f>
        <v>147.52190064000001</v>
      </c>
      <c r="I40" s="5">
        <f>Table1[[#This Row],[Feb_Projected_Pay]]*0.02</f>
        <v>36.880475160000003</v>
      </c>
      <c r="J40" s="5">
        <v>650</v>
      </c>
      <c r="K40" s="45">
        <v>54252.349608999997</v>
      </c>
      <c r="L40" s="5">
        <f>Table1[[#This Row],[Mar_Projected_Pay]]*0.08</f>
        <v>4340.1879687199998</v>
      </c>
      <c r="M40" s="5">
        <f>Table1[[#This Row],[Mar_Projected_Pay]]*0.02</f>
        <v>1085.04699218</v>
      </c>
      <c r="N40" s="5">
        <v>650</v>
      </c>
      <c r="O40" s="45">
        <v>72763.957202000005</v>
      </c>
      <c r="P40" s="5">
        <f>Table1[[#This Row],[Apr_Projected_Pay]]*0.08</f>
        <v>5821.1165761600005</v>
      </c>
      <c r="Q40" s="5">
        <f>Table1[[#This Row],[Apr_Projected_Pay]]*0.02</f>
        <v>1455.2791440400001</v>
      </c>
      <c r="R40" s="5">
        <v>650</v>
      </c>
      <c r="S40" s="45">
        <v>42904.057835</v>
      </c>
      <c r="T40" s="5">
        <f>Table1[[#This Row],[May_Projected_Pay]]*0.08</f>
        <v>3432.3246268000003</v>
      </c>
      <c r="U40" s="5">
        <f>Table1[[#This Row],[May_Projected_Pay]]*0.02</f>
        <v>858.08115670000007</v>
      </c>
      <c r="V40" s="5">
        <v>650</v>
      </c>
      <c r="W40" s="45">
        <v>62651.924435000001</v>
      </c>
      <c r="X40" s="5">
        <f>Table1[[#This Row],[Jun_Projected_Pay]]*0.08</f>
        <v>5012.1539548000001</v>
      </c>
      <c r="Y40" s="5">
        <f>Table1[[#This Row],[Jun_Projected_Pay]]*0.02</f>
        <v>1253.0384887</v>
      </c>
      <c r="Z40" s="5">
        <v>650</v>
      </c>
      <c r="AA40" s="45">
        <v>58336.410565999999</v>
      </c>
      <c r="AB40" s="5">
        <f>Table1[[#This Row],[Jul_Projected_Pay]]*0.08</f>
        <v>4666.9128452799996</v>
      </c>
      <c r="AC40" s="5">
        <f>Table1[[#This Row],[Jul_Projected_Pay]]*0.02</f>
        <v>1166.7282113199999</v>
      </c>
      <c r="AD40" s="5">
        <v>650</v>
      </c>
      <c r="AE40" s="45">
        <v>40119.443396000002</v>
      </c>
      <c r="AF40" s="5">
        <f>Table1[[#This Row],[Aug_Projected_Pay]]*0.08</f>
        <v>3209.5554716800002</v>
      </c>
      <c r="AG40" s="5">
        <f>Table1[[#This Row],[Aug_Projected_Pay]]*0.02</f>
        <v>802.38886792000005</v>
      </c>
      <c r="AH40" s="5">
        <v>650</v>
      </c>
      <c r="AI40" s="45">
        <v>29678.019087000001</v>
      </c>
      <c r="AJ40" s="5">
        <f>Table1[[#This Row],[Sep_Projected_Pay]]*0.08</f>
        <v>2374.2415269600001</v>
      </c>
      <c r="AK40" s="5">
        <f>Table1[[#This Row],[Sep_Projected_Pay]]*0.02</f>
        <v>593.56038174000003</v>
      </c>
      <c r="AL40" s="5">
        <v>650</v>
      </c>
      <c r="AM40" s="45">
        <v>19844.779589000002</v>
      </c>
      <c r="AN40" s="5">
        <f>Table1[[#This Row],[Oct_Projected_Pay]]*0.08</f>
        <v>1587.5823671200001</v>
      </c>
      <c r="AO40" s="5">
        <f>Table1[[#This Row],[Oct_Projected_Pay]]*0.02</f>
        <v>396.89559178000002</v>
      </c>
      <c r="AP40" s="5">
        <v>650</v>
      </c>
      <c r="AQ40" s="45">
        <v>17829.918533</v>
      </c>
      <c r="AR40" s="5">
        <f>Table1[[#This Row],[Nov_Projected_Pay]]*0.08</f>
        <v>1426.39348264</v>
      </c>
      <c r="AS40" s="5">
        <f>Table1[[#This Row],[Nov_Projected_Pay]]*0.02</f>
        <v>356.59837066</v>
      </c>
      <c r="AT40" s="5">
        <v>650</v>
      </c>
      <c r="AU40" s="45">
        <v>5172.2053839999999</v>
      </c>
      <c r="AV40" s="5">
        <f>Table1[[#This Row],[Dec_Projected_Pay]]*0.08</f>
        <v>413.77643072000001</v>
      </c>
      <c r="AW40" s="5">
        <f>Table1[[#This Row],[Dec_Projected_Pay]]*0.02</f>
        <v>103.44410768</v>
      </c>
      <c r="AX40" s="5">
        <v>650</v>
      </c>
      <c r="AY40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407241.11315200001</v>
      </c>
      <c r="AZ40" s="59">
        <f>D40+H40+L40+P40+T40+X40+AB40+AF40+AJ40+AN40+AR40+AV40</f>
        <v>32579.289052160002</v>
      </c>
      <c r="BA40" s="59">
        <f>E40+I40+M40+Q40+U40+Y40+AC40+AG40+AK40+AO40+AS40+AW40</f>
        <v>8144.8222630400005</v>
      </c>
      <c r="BB40" s="59">
        <f>F40+J40+N40+R40+V40+Z40+AD40+AH40+AL40+AP40+AT40+AX40</f>
        <v>7800</v>
      </c>
    </row>
    <row r="41" spans="1:54" x14ac:dyDescent="0.3">
      <c r="A41" s="30" t="s">
        <v>110</v>
      </c>
      <c r="B41" t="s">
        <v>109</v>
      </c>
      <c r="C41" s="46">
        <v>0</v>
      </c>
      <c r="D41" s="5">
        <f>Table1[[#This Row],[Jan_Projected_Pay]]*0.08</f>
        <v>0</v>
      </c>
      <c r="E41" s="5">
        <f>Table1[[#This Row],[Jan_Projected_Pay]]*0.02</f>
        <v>0</v>
      </c>
      <c r="F41" s="5">
        <v>650</v>
      </c>
      <c r="G41" s="45">
        <v>0</v>
      </c>
      <c r="H41" s="5">
        <f>Table1[[#This Row],[Feb_Projected_Pay]]*0.08</f>
        <v>0</v>
      </c>
      <c r="I41" s="5">
        <f>Table1[[#This Row],[Feb_Projected_Pay]]*0.02</f>
        <v>0</v>
      </c>
      <c r="J41" s="5">
        <v>650</v>
      </c>
      <c r="K41" s="45">
        <v>12590</v>
      </c>
      <c r="L41" s="5">
        <f>Table1[[#This Row],[Mar_Projected_Pay]]*0.08</f>
        <v>1007.2</v>
      </c>
      <c r="M41" s="5">
        <f>Table1[[#This Row],[Mar_Projected_Pay]]*0.02</f>
        <v>251.8</v>
      </c>
      <c r="N41" s="5">
        <v>650</v>
      </c>
      <c r="O41" s="45">
        <v>10309</v>
      </c>
      <c r="P41" s="5">
        <f>Table1[[#This Row],[Apr_Projected_Pay]]*0.08</f>
        <v>824.72</v>
      </c>
      <c r="Q41" s="5">
        <f>Table1[[#This Row],[Apr_Projected_Pay]]*0.02</f>
        <v>206.18</v>
      </c>
      <c r="R41" s="5">
        <v>650</v>
      </c>
      <c r="S41" s="45">
        <v>34573</v>
      </c>
      <c r="T41" s="5">
        <f>Table1[[#This Row],[May_Projected_Pay]]*0.08</f>
        <v>2765.84</v>
      </c>
      <c r="U41" s="5">
        <f>Table1[[#This Row],[May_Projected_Pay]]*0.02</f>
        <v>691.46</v>
      </c>
      <c r="V41" s="5">
        <v>650</v>
      </c>
      <c r="W41" s="45">
        <v>11853</v>
      </c>
      <c r="X41" s="5">
        <f>Table1[[#This Row],[Jun_Projected_Pay]]*0.08</f>
        <v>948.24</v>
      </c>
      <c r="Y41" s="5">
        <f>Table1[[#This Row],[Jun_Projected_Pay]]*0.02</f>
        <v>237.06</v>
      </c>
      <c r="Z41" s="5">
        <v>650</v>
      </c>
      <c r="AA41" s="45">
        <v>20698</v>
      </c>
      <c r="AB41" s="5">
        <f>Table1[[#This Row],[Jul_Projected_Pay]]*0.08</f>
        <v>1655.8400000000001</v>
      </c>
      <c r="AC41" s="5">
        <f>Table1[[#This Row],[Jul_Projected_Pay]]*0.02</f>
        <v>413.96000000000004</v>
      </c>
      <c r="AD41" s="5">
        <v>650</v>
      </c>
      <c r="AE41" s="45">
        <v>20452</v>
      </c>
      <c r="AF41" s="5">
        <f>Table1[[#This Row],[Aug_Projected_Pay]]*0.08</f>
        <v>1636.16</v>
      </c>
      <c r="AG41" s="5">
        <f>Table1[[#This Row],[Aug_Projected_Pay]]*0.02</f>
        <v>409.04</v>
      </c>
      <c r="AH41" s="5">
        <v>650</v>
      </c>
      <c r="AI41" s="45">
        <v>21325</v>
      </c>
      <c r="AJ41" s="5">
        <f>Table1[[#This Row],[Sep_Projected_Pay]]*0.08</f>
        <v>1706</v>
      </c>
      <c r="AK41" s="5">
        <f>Table1[[#This Row],[Sep_Projected_Pay]]*0.02</f>
        <v>426.5</v>
      </c>
      <c r="AL41" s="5">
        <v>650</v>
      </c>
      <c r="AM41" s="45">
        <v>15113.519254000001</v>
      </c>
      <c r="AN41" s="5">
        <f>Table1[[#This Row],[Oct_Projected_Pay]]*0.08</f>
        <v>1209.0815403200002</v>
      </c>
      <c r="AO41" s="5">
        <f>Table1[[#This Row],[Oct_Projected_Pay]]*0.02</f>
        <v>302.27038508000004</v>
      </c>
      <c r="AP41" s="5">
        <v>650</v>
      </c>
      <c r="AQ41" s="45">
        <v>20460</v>
      </c>
      <c r="AR41" s="5">
        <f>Table1[[#This Row],[Nov_Projected_Pay]]*0.08</f>
        <v>1636.8</v>
      </c>
      <c r="AS41" s="5">
        <f>Table1[[#This Row],[Nov_Projected_Pay]]*0.02</f>
        <v>409.2</v>
      </c>
      <c r="AT41" s="5">
        <v>650</v>
      </c>
      <c r="AU41" s="45">
        <v>2322.774476</v>
      </c>
      <c r="AV41" s="5">
        <f>Table1[[#This Row],[Dec_Projected_Pay]]*0.08</f>
        <v>185.82195808</v>
      </c>
      <c r="AW41" s="5">
        <f>Table1[[#This Row],[Dec_Projected_Pay]]*0.02</f>
        <v>46.45548952</v>
      </c>
      <c r="AX41" s="5">
        <v>650</v>
      </c>
      <c r="AY41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169696.29373</v>
      </c>
      <c r="AZ41" s="59">
        <f>D41+H41+L41+P41+T41+X41+AB41+AF41+AJ41+AN41+AR41+AV41</f>
        <v>13575.703498399998</v>
      </c>
      <c r="BA41" s="59">
        <f>E41+I41+M41+Q41+U41+Y41+AC41+AG41+AK41+AO41+AS41+AW41</f>
        <v>3393.9258745999996</v>
      </c>
      <c r="BB41" s="59">
        <f>F41+J41+N41+R41+V41+Z41+AD41+AH41+AL41+AP41+AT41+AX41</f>
        <v>7800</v>
      </c>
    </row>
    <row r="42" spans="1:54" x14ac:dyDescent="0.3">
      <c r="A42" t="s">
        <v>111</v>
      </c>
      <c r="B42" t="s">
        <v>112</v>
      </c>
      <c r="C42" s="46">
        <v>22473</v>
      </c>
      <c r="D42" s="5">
        <f>Table1[[#This Row],[Jan_Projected_Pay]]*0.08</f>
        <v>1797.8400000000001</v>
      </c>
      <c r="E42" s="5">
        <f>Table1[[#This Row],[Jan_Projected_Pay]]*0.02</f>
        <v>449.46000000000004</v>
      </c>
      <c r="F42" s="5">
        <v>458</v>
      </c>
      <c r="G42" s="45">
        <v>250</v>
      </c>
      <c r="H42" s="5">
        <f>Table1[[#This Row],[Feb_Projected_Pay]]*0.08</f>
        <v>20</v>
      </c>
      <c r="I42" s="5">
        <f>Table1[[#This Row],[Feb_Projected_Pay]]*0.02</f>
        <v>5</v>
      </c>
      <c r="J42" s="5">
        <v>458</v>
      </c>
      <c r="K42" s="45">
        <v>11926</v>
      </c>
      <c r="L42" s="5">
        <f>Table1[[#This Row],[Mar_Projected_Pay]]*0.08</f>
        <v>954.08</v>
      </c>
      <c r="M42" s="5">
        <f>Table1[[#This Row],[Mar_Projected_Pay]]*0.02</f>
        <v>238.52</v>
      </c>
      <c r="N42" s="5">
        <v>458</v>
      </c>
      <c r="O42" s="45">
        <v>50693</v>
      </c>
      <c r="P42" s="5">
        <f>Table1[[#This Row],[Apr_Projected_Pay]]*0.08</f>
        <v>4055.44</v>
      </c>
      <c r="Q42" s="5">
        <f>Table1[[#This Row],[Apr_Projected_Pay]]*0.02</f>
        <v>1013.86</v>
      </c>
      <c r="R42" s="5">
        <v>458</v>
      </c>
      <c r="S42" s="45">
        <v>32011</v>
      </c>
      <c r="T42" s="5">
        <f>Table1[[#This Row],[May_Projected_Pay]]*0.08</f>
        <v>2560.88</v>
      </c>
      <c r="U42" s="5">
        <f>Table1[[#This Row],[May_Projected_Pay]]*0.02</f>
        <v>640.22</v>
      </c>
      <c r="V42" s="5">
        <v>458</v>
      </c>
      <c r="W42" s="45">
        <v>26898</v>
      </c>
      <c r="X42" s="5">
        <f>Table1[[#This Row],[Jun_Projected_Pay]]*0.08</f>
        <v>2151.84</v>
      </c>
      <c r="Y42" s="5">
        <f>Table1[[#This Row],[Jun_Projected_Pay]]*0.02</f>
        <v>537.96</v>
      </c>
      <c r="Z42" s="5">
        <v>458</v>
      </c>
      <c r="AA42" s="45">
        <v>20633</v>
      </c>
      <c r="AB42" s="5">
        <f>Table1[[#This Row],[Jul_Projected_Pay]]*0.08</f>
        <v>1650.64</v>
      </c>
      <c r="AC42" s="5">
        <f>Table1[[#This Row],[Jul_Projected_Pay]]*0.02</f>
        <v>412.66</v>
      </c>
      <c r="AD42" s="5">
        <v>458</v>
      </c>
      <c r="AE42" s="45">
        <v>24231</v>
      </c>
      <c r="AF42" s="5">
        <f>Table1[[#This Row],[Aug_Projected_Pay]]*0.08</f>
        <v>1938.48</v>
      </c>
      <c r="AG42" s="5">
        <f>Table1[[#This Row],[Aug_Projected_Pay]]*0.02</f>
        <v>484.62</v>
      </c>
      <c r="AH42" s="5">
        <v>458</v>
      </c>
      <c r="AI42" s="45">
        <v>84359</v>
      </c>
      <c r="AJ42" s="5">
        <f>Table1[[#This Row],[Sep_Projected_Pay]]*0.08</f>
        <v>6748.72</v>
      </c>
      <c r="AK42" s="5">
        <f>Table1[[#This Row],[Sep_Projected_Pay]]*0.02</f>
        <v>1687.18</v>
      </c>
      <c r="AL42" s="5">
        <v>458</v>
      </c>
      <c r="AM42" s="45">
        <v>2439</v>
      </c>
      <c r="AN42" s="5">
        <f>Table1[[#This Row],[Oct_Projected_Pay]]*0.08</f>
        <v>195.12</v>
      </c>
      <c r="AO42" s="5">
        <f>Table1[[#This Row],[Oct_Projected_Pay]]*0.02</f>
        <v>48.78</v>
      </c>
      <c r="AP42" s="5">
        <v>458</v>
      </c>
      <c r="AQ42" s="45">
        <v>24388</v>
      </c>
      <c r="AR42" s="5">
        <f>Table1[[#This Row],[Nov_Projected_Pay]]*0.08</f>
        <v>1951.04</v>
      </c>
      <c r="AS42" s="5">
        <f>Table1[[#This Row],[Nov_Projected_Pay]]*0.02</f>
        <v>487.76</v>
      </c>
      <c r="AT42" s="5">
        <v>458</v>
      </c>
      <c r="AU42" s="45">
        <v>5662</v>
      </c>
      <c r="AV42" s="5">
        <f>Table1[[#This Row],[Dec_Projected_Pay]]*0.08</f>
        <v>452.96000000000004</v>
      </c>
      <c r="AW42" s="5">
        <f>Table1[[#This Row],[Dec_Projected_Pay]]*0.02</f>
        <v>113.24000000000001</v>
      </c>
      <c r="AX42" s="5">
        <v>458</v>
      </c>
      <c r="AY42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305963</v>
      </c>
      <c r="AZ42" s="59">
        <f>D42+H42+L42+P42+T42+X42+AB42+AF42+AJ42+AN42+AR42+AV42</f>
        <v>24477.040000000001</v>
      </c>
      <c r="BA42" s="59">
        <f>E42+I42+M42+Q42+U42+Y42+AC42+AG42+AK42+AO42+AS42+AW42</f>
        <v>6119.26</v>
      </c>
      <c r="BB42" s="59">
        <f>F42+J42+N42+R42+V42+Z42+AD42+AH42+AL42+AP42+AT42+AX42</f>
        <v>5496</v>
      </c>
    </row>
    <row r="43" spans="1:54" x14ac:dyDescent="0.3">
      <c r="A43" t="s">
        <v>113</v>
      </c>
      <c r="B43" t="s">
        <v>112</v>
      </c>
      <c r="C43" s="46">
        <v>6240</v>
      </c>
      <c r="D43" s="5">
        <f>Table1[[#This Row],[Jan_Projected_Pay]]*0.08</f>
        <v>499.2</v>
      </c>
      <c r="E43" s="5">
        <f>Table1[[#This Row],[Jan_Projected_Pay]]*0.02</f>
        <v>124.8</v>
      </c>
      <c r="F43" s="5">
        <v>600</v>
      </c>
      <c r="G43" s="45">
        <v>534.59718699999996</v>
      </c>
      <c r="H43" s="5">
        <f>Table1[[#This Row],[Feb_Projected_Pay]]*0.08</f>
        <v>42.767774959999997</v>
      </c>
      <c r="I43" s="5">
        <f>Table1[[#This Row],[Feb_Projected_Pay]]*0.02</f>
        <v>10.691943739999999</v>
      </c>
      <c r="J43" s="5">
        <v>600</v>
      </c>
      <c r="K43" s="45">
        <v>7957</v>
      </c>
      <c r="L43" s="5">
        <f>Table1[[#This Row],[Mar_Projected_Pay]]*0.08</f>
        <v>636.56000000000006</v>
      </c>
      <c r="M43" s="5">
        <f>Table1[[#This Row],[Mar_Projected_Pay]]*0.02</f>
        <v>159.14000000000001</v>
      </c>
      <c r="N43" s="5">
        <v>600</v>
      </c>
      <c r="O43" s="45">
        <v>18261</v>
      </c>
      <c r="P43" s="5">
        <f>Table1[[#This Row],[Apr_Projected_Pay]]*0.08</f>
        <v>1460.88</v>
      </c>
      <c r="Q43" s="5">
        <f>Table1[[#This Row],[Apr_Projected_Pay]]*0.02</f>
        <v>365.22</v>
      </c>
      <c r="R43" s="5">
        <v>600</v>
      </c>
      <c r="S43" s="45">
        <v>19802.507104</v>
      </c>
      <c r="T43" s="5">
        <f>Table1[[#This Row],[May_Projected_Pay]]*0.08</f>
        <v>1584.20056832</v>
      </c>
      <c r="U43" s="5">
        <f>Table1[[#This Row],[May_Projected_Pay]]*0.02</f>
        <v>396.05014208</v>
      </c>
      <c r="V43" s="5">
        <v>600</v>
      </c>
      <c r="W43" s="45">
        <v>14601</v>
      </c>
      <c r="X43" s="5">
        <f>Table1[[#This Row],[Jun_Projected_Pay]]*0.08</f>
        <v>1168.08</v>
      </c>
      <c r="Y43" s="5">
        <f>Table1[[#This Row],[Jun_Projected_Pay]]*0.02</f>
        <v>292.02</v>
      </c>
      <c r="Z43" s="5">
        <v>600</v>
      </c>
      <c r="AA43" s="45">
        <v>9463</v>
      </c>
      <c r="AB43" s="5">
        <f>Table1[[#This Row],[Jul_Projected_Pay]]*0.08</f>
        <v>757.04</v>
      </c>
      <c r="AC43" s="5">
        <f>Table1[[#This Row],[Jul_Projected_Pay]]*0.02</f>
        <v>189.26</v>
      </c>
      <c r="AD43" s="5">
        <v>600</v>
      </c>
      <c r="AE43" s="45">
        <v>15024</v>
      </c>
      <c r="AF43" s="5">
        <f>Table1[[#This Row],[Aug_Projected_Pay]]*0.08</f>
        <v>1201.92</v>
      </c>
      <c r="AG43" s="5">
        <f>Table1[[#This Row],[Aug_Projected_Pay]]*0.02</f>
        <v>300.48</v>
      </c>
      <c r="AH43" s="5">
        <v>600</v>
      </c>
      <c r="AI43" s="45">
        <v>29235</v>
      </c>
      <c r="AJ43" s="5">
        <f>Table1[[#This Row],[Sep_Projected_Pay]]*0.08</f>
        <v>2338.8000000000002</v>
      </c>
      <c r="AK43" s="5">
        <f>Table1[[#This Row],[Sep_Projected_Pay]]*0.02</f>
        <v>584.70000000000005</v>
      </c>
      <c r="AL43" s="5">
        <v>600</v>
      </c>
      <c r="AM43" s="45">
        <v>30699</v>
      </c>
      <c r="AN43" s="5">
        <f>Table1[[#This Row],[Oct_Projected_Pay]]*0.08</f>
        <v>2455.92</v>
      </c>
      <c r="AO43" s="5">
        <f>Table1[[#This Row],[Oct_Projected_Pay]]*0.02</f>
        <v>613.98</v>
      </c>
      <c r="AP43" s="5">
        <v>600</v>
      </c>
      <c r="AQ43" s="45">
        <v>4539.9682929999999</v>
      </c>
      <c r="AR43" s="5">
        <f>Table1[[#This Row],[Nov_Projected_Pay]]*0.08</f>
        <v>363.19746343999998</v>
      </c>
      <c r="AS43" s="5">
        <f>Table1[[#This Row],[Nov_Projected_Pay]]*0.02</f>
        <v>90.799365859999995</v>
      </c>
      <c r="AT43" s="5">
        <v>600</v>
      </c>
      <c r="AU43" s="45">
        <v>12236</v>
      </c>
      <c r="AV43" s="5">
        <f>Table1[[#This Row],[Dec_Projected_Pay]]*0.08</f>
        <v>978.88</v>
      </c>
      <c r="AW43" s="5">
        <f>Table1[[#This Row],[Dec_Projected_Pay]]*0.02</f>
        <v>244.72</v>
      </c>
      <c r="AX43" s="5">
        <v>600</v>
      </c>
      <c r="AY43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168593.07258400001</v>
      </c>
      <c r="AZ43" s="59">
        <f>D43+H43+L43+P43+T43+X43+AB43+AF43+AJ43+AN43+AR43+AV43</f>
        <v>13487.445806719999</v>
      </c>
      <c r="BA43" s="59">
        <f>E43+I43+M43+Q43+U43+Y43+AC43+AG43+AK43+AO43+AS43+AW43</f>
        <v>3371.8614516799998</v>
      </c>
      <c r="BB43" s="59">
        <f>F43+J43+N43+R43+V43+Z43+AD43+AH43+AL43+AP43+AT43+AX43</f>
        <v>7200</v>
      </c>
    </row>
    <row r="44" spans="1:54" x14ac:dyDescent="0.3">
      <c r="A44" t="s">
        <v>114</v>
      </c>
      <c r="B44" t="s">
        <v>115</v>
      </c>
      <c r="C44" s="46">
        <v>5503</v>
      </c>
      <c r="D44" s="5">
        <f>Table1[[#This Row],[Jan_Projected_Pay]]*0.08</f>
        <v>440.24</v>
      </c>
      <c r="E44" s="5">
        <f>Table1[[#This Row],[Jan_Projected_Pay]]*0.02</f>
        <v>110.06</v>
      </c>
      <c r="F44" s="5">
        <v>600</v>
      </c>
      <c r="G44" s="45">
        <v>26911</v>
      </c>
      <c r="H44" s="5">
        <f>Table1[[#This Row],[Feb_Projected_Pay]]*0.08</f>
        <v>2152.88</v>
      </c>
      <c r="I44" s="5">
        <f>Table1[[#This Row],[Feb_Projected_Pay]]*0.02</f>
        <v>538.22</v>
      </c>
      <c r="J44" s="5">
        <v>600</v>
      </c>
      <c r="K44" s="45">
        <v>27904</v>
      </c>
      <c r="L44" s="5">
        <f>Table1[[#This Row],[Mar_Projected_Pay]]*0.08</f>
        <v>2232.3200000000002</v>
      </c>
      <c r="M44" s="5">
        <f>Table1[[#This Row],[Mar_Projected_Pay]]*0.02</f>
        <v>558.08000000000004</v>
      </c>
      <c r="N44" s="5">
        <v>600</v>
      </c>
      <c r="O44" s="45">
        <v>36922</v>
      </c>
      <c r="P44" s="5">
        <f>Table1[[#This Row],[Apr_Projected_Pay]]*0.08</f>
        <v>2953.76</v>
      </c>
      <c r="Q44" s="5">
        <f>Table1[[#This Row],[Apr_Projected_Pay]]*0.02</f>
        <v>738.44</v>
      </c>
      <c r="R44" s="5">
        <v>600</v>
      </c>
      <c r="S44" s="45">
        <v>25619</v>
      </c>
      <c r="T44" s="5">
        <f>Table1[[#This Row],[May_Projected_Pay]]*0.08</f>
        <v>2049.52</v>
      </c>
      <c r="U44" s="5">
        <f>Table1[[#This Row],[May_Projected_Pay]]*0.02</f>
        <v>512.38</v>
      </c>
      <c r="V44" s="5">
        <v>600</v>
      </c>
      <c r="W44" s="45">
        <v>55986</v>
      </c>
      <c r="X44" s="5">
        <f>Table1[[#This Row],[Jun_Projected_Pay]]*0.08</f>
        <v>4478.88</v>
      </c>
      <c r="Y44" s="5">
        <f>Table1[[#This Row],[Jun_Projected_Pay]]*0.02</f>
        <v>1119.72</v>
      </c>
      <c r="Z44" s="5">
        <v>600</v>
      </c>
      <c r="AA44" s="45">
        <v>35574</v>
      </c>
      <c r="AB44" s="5">
        <f>Table1[[#This Row],[Jul_Projected_Pay]]*0.08</f>
        <v>2845.92</v>
      </c>
      <c r="AC44" s="5">
        <f>Table1[[#This Row],[Jul_Projected_Pay]]*0.02</f>
        <v>711.48</v>
      </c>
      <c r="AD44" s="5">
        <v>600</v>
      </c>
      <c r="AE44" s="45">
        <v>55367</v>
      </c>
      <c r="AF44" s="5">
        <f>Table1[[#This Row],[Aug_Projected_Pay]]*0.08</f>
        <v>4429.3599999999997</v>
      </c>
      <c r="AG44" s="5">
        <f>Table1[[#This Row],[Aug_Projected_Pay]]*0.02</f>
        <v>1107.3399999999999</v>
      </c>
      <c r="AH44" s="5">
        <v>600</v>
      </c>
      <c r="AI44" s="45">
        <v>52726</v>
      </c>
      <c r="AJ44" s="5">
        <f>Table1[[#This Row],[Sep_Projected_Pay]]*0.08</f>
        <v>4218.08</v>
      </c>
      <c r="AK44" s="5">
        <f>Table1[[#This Row],[Sep_Projected_Pay]]*0.02</f>
        <v>1054.52</v>
      </c>
      <c r="AL44" s="5">
        <v>600</v>
      </c>
      <c r="AM44" s="45">
        <v>126395</v>
      </c>
      <c r="AN44" s="5">
        <f>Table1[[#This Row],[Oct_Projected_Pay]]*0.08</f>
        <v>10111.6</v>
      </c>
      <c r="AO44" s="5">
        <f>Table1[[#This Row],[Oct_Projected_Pay]]*0.02</f>
        <v>2527.9</v>
      </c>
      <c r="AP44" s="5">
        <v>600</v>
      </c>
      <c r="AQ44" s="45">
        <v>50697</v>
      </c>
      <c r="AR44" s="5">
        <f>Table1[[#This Row],[Nov_Projected_Pay]]*0.08</f>
        <v>4055.76</v>
      </c>
      <c r="AS44" s="5">
        <f>Table1[[#This Row],[Nov_Projected_Pay]]*0.02</f>
        <v>1013.94</v>
      </c>
      <c r="AT44" s="5">
        <v>600</v>
      </c>
      <c r="AU44" s="45">
        <v>10348.211670999999</v>
      </c>
      <c r="AV44" s="5">
        <f>Table1[[#This Row],[Dec_Projected_Pay]]*0.08</f>
        <v>827.85693368</v>
      </c>
      <c r="AW44" s="5">
        <f>Table1[[#This Row],[Dec_Projected_Pay]]*0.02</f>
        <v>206.96423342</v>
      </c>
      <c r="AX44" s="5">
        <v>600</v>
      </c>
      <c r="AY44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509952.211671</v>
      </c>
      <c r="AZ44" s="59">
        <f>D44+H44+L44+P44+T44+X44+AB44+AF44+AJ44+AN44+AR44+AV44</f>
        <v>40796.176933680006</v>
      </c>
      <c r="BA44" s="59">
        <f>E44+I44+M44+Q44+U44+Y44+AC44+AG44+AK44+AO44+AS44+AW44</f>
        <v>10199.044233420002</v>
      </c>
      <c r="BB44" s="59">
        <f>F44+J44+N44+R44+V44+Z44+AD44+AH44+AL44+AP44+AT44+AX44</f>
        <v>7200</v>
      </c>
    </row>
    <row r="45" spans="1:54" x14ac:dyDescent="0.3">
      <c r="A45" t="s">
        <v>116</v>
      </c>
      <c r="B45" t="s">
        <v>117</v>
      </c>
      <c r="C45" s="46">
        <v>23873</v>
      </c>
      <c r="D45" s="5">
        <f>Table1[[#This Row],[Jan_Projected_Pay]]*0.08</f>
        <v>1909.8400000000001</v>
      </c>
      <c r="E45" s="5">
        <f>Table1[[#This Row],[Jan_Projected_Pay]]*0.02</f>
        <v>477.46000000000004</v>
      </c>
      <c r="F45" s="5">
        <v>600</v>
      </c>
      <c r="G45" s="45">
        <v>19334</v>
      </c>
      <c r="H45" s="5">
        <f>Table1[[#This Row],[Feb_Projected_Pay]]*0.08</f>
        <v>1546.72</v>
      </c>
      <c r="I45" s="5">
        <f>Table1[[#This Row],[Feb_Projected_Pay]]*0.02</f>
        <v>386.68</v>
      </c>
      <c r="J45" s="5">
        <v>600</v>
      </c>
      <c r="K45" s="45">
        <v>10563</v>
      </c>
      <c r="L45" s="5">
        <f>Table1[[#This Row],[Mar_Projected_Pay]]*0.08</f>
        <v>845.04</v>
      </c>
      <c r="M45" s="5">
        <f>Table1[[#This Row],[Mar_Projected_Pay]]*0.02</f>
        <v>211.26</v>
      </c>
      <c r="N45" s="5">
        <v>600</v>
      </c>
      <c r="O45" s="45">
        <v>26842</v>
      </c>
      <c r="P45" s="5">
        <f>Table1[[#This Row],[Apr_Projected_Pay]]*0.08</f>
        <v>2147.36</v>
      </c>
      <c r="Q45" s="5">
        <f>Table1[[#This Row],[Apr_Projected_Pay]]*0.02</f>
        <v>536.84</v>
      </c>
      <c r="R45" s="5">
        <v>600</v>
      </c>
      <c r="S45" s="45">
        <v>29507</v>
      </c>
      <c r="T45" s="5">
        <f>Table1[[#This Row],[May_Projected_Pay]]*0.08</f>
        <v>2360.56</v>
      </c>
      <c r="U45" s="5">
        <f>Table1[[#This Row],[May_Projected_Pay]]*0.02</f>
        <v>590.14</v>
      </c>
      <c r="V45" s="5">
        <v>600</v>
      </c>
      <c r="W45" s="45">
        <v>56428</v>
      </c>
      <c r="X45" s="5">
        <f>Table1[[#This Row],[Jun_Projected_Pay]]*0.08</f>
        <v>4514.24</v>
      </c>
      <c r="Y45" s="5">
        <f>Table1[[#This Row],[Jun_Projected_Pay]]*0.02</f>
        <v>1128.56</v>
      </c>
      <c r="Z45" s="5">
        <v>600</v>
      </c>
      <c r="AA45" s="45">
        <v>55285</v>
      </c>
      <c r="AB45" s="5">
        <f>Table1[[#This Row],[Jul_Projected_Pay]]*0.08</f>
        <v>4422.8</v>
      </c>
      <c r="AC45" s="5">
        <f>Table1[[#This Row],[Jul_Projected_Pay]]*0.02</f>
        <v>1105.7</v>
      </c>
      <c r="AD45" s="5">
        <v>600</v>
      </c>
      <c r="AE45" s="45">
        <v>71956</v>
      </c>
      <c r="AF45" s="5">
        <f>Table1[[#This Row],[Aug_Projected_Pay]]*0.08</f>
        <v>5756.4800000000005</v>
      </c>
      <c r="AG45" s="5">
        <f>Table1[[#This Row],[Aug_Projected_Pay]]*0.02</f>
        <v>1439.1200000000001</v>
      </c>
      <c r="AH45" s="5">
        <v>600</v>
      </c>
      <c r="AI45" s="45">
        <v>27020</v>
      </c>
      <c r="AJ45" s="5">
        <f>Table1[[#This Row],[Sep_Projected_Pay]]*0.08</f>
        <v>2161.6</v>
      </c>
      <c r="AK45" s="5">
        <f>Table1[[#This Row],[Sep_Projected_Pay]]*0.02</f>
        <v>540.4</v>
      </c>
      <c r="AL45" s="5">
        <v>600</v>
      </c>
      <c r="AM45" s="45">
        <v>24976</v>
      </c>
      <c r="AN45" s="5">
        <f>Table1[[#This Row],[Oct_Projected_Pay]]*0.08</f>
        <v>1998.0800000000002</v>
      </c>
      <c r="AO45" s="5">
        <f>Table1[[#This Row],[Oct_Projected_Pay]]*0.02</f>
        <v>499.52000000000004</v>
      </c>
      <c r="AP45" s="5">
        <v>600</v>
      </c>
      <c r="AQ45" s="45">
        <v>16035</v>
      </c>
      <c r="AR45" s="5">
        <f>Table1[[#This Row],[Nov_Projected_Pay]]*0.08</f>
        <v>1282.8</v>
      </c>
      <c r="AS45" s="5">
        <f>Table1[[#This Row],[Nov_Projected_Pay]]*0.02</f>
        <v>320.7</v>
      </c>
      <c r="AT45" s="5">
        <v>600</v>
      </c>
      <c r="AU45" s="45">
        <v>25980</v>
      </c>
      <c r="AV45" s="5">
        <f>Table1[[#This Row],[Dec_Projected_Pay]]*0.08</f>
        <v>2078.4</v>
      </c>
      <c r="AW45" s="5">
        <f>Table1[[#This Row],[Dec_Projected_Pay]]*0.02</f>
        <v>519.6</v>
      </c>
      <c r="AX45" s="5">
        <v>600</v>
      </c>
      <c r="AY45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387799</v>
      </c>
      <c r="AZ45" s="59">
        <f>D45+H45+L45+P45+T45+X45+AB45+AF45+AJ45+AN45+AR45+AV45</f>
        <v>31023.920000000002</v>
      </c>
      <c r="BA45" s="59">
        <f>E45+I45+M45+Q45+U45+Y45+AC45+AG45+AK45+AO45+AS45+AW45</f>
        <v>7755.9800000000005</v>
      </c>
      <c r="BB45" s="59">
        <f>F45+J45+N45+R45+V45+Z45+AD45+AH45+AL45+AP45+AT45+AX45</f>
        <v>7200</v>
      </c>
    </row>
    <row r="46" spans="1:54" x14ac:dyDescent="0.3">
      <c r="A46" s="30" t="s">
        <v>118</v>
      </c>
      <c r="B46" t="s">
        <v>117</v>
      </c>
      <c r="C46" s="46">
        <v>4125</v>
      </c>
      <c r="D46" s="5">
        <f>Table1[[#This Row],[Jan_Projected_Pay]]*0.08</f>
        <v>330</v>
      </c>
      <c r="E46" s="5">
        <f>Table1[[#This Row],[Jan_Projected_Pay]]*0.02</f>
        <v>82.5</v>
      </c>
      <c r="F46" s="5">
        <v>650</v>
      </c>
      <c r="G46" s="45">
        <v>0</v>
      </c>
      <c r="H46" s="5">
        <f>Table1[[#This Row],[Feb_Projected_Pay]]*0.08</f>
        <v>0</v>
      </c>
      <c r="I46" s="5">
        <f>Table1[[#This Row],[Feb_Projected_Pay]]*0.02</f>
        <v>0</v>
      </c>
      <c r="J46" s="5">
        <v>458</v>
      </c>
      <c r="K46" s="45">
        <v>2521</v>
      </c>
      <c r="L46" s="5">
        <f>Table1[[#This Row],[Mar_Projected_Pay]]*0.08</f>
        <v>201.68</v>
      </c>
      <c r="M46" s="5">
        <f>Table1[[#This Row],[Mar_Projected_Pay]]*0.02</f>
        <v>50.42</v>
      </c>
      <c r="N46" s="5">
        <v>575</v>
      </c>
      <c r="O46" s="45">
        <v>4210</v>
      </c>
      <c r="P46" s="5">
        <f>Table1[[#This Row],[Apr_Projected_Pay]]*0.08</f>
        <v>336.8</v>
      </c>
      <c r="Q46" s="5">
        <f>Table1[[#This Row],[Apr_Projected_Pay]]*0.02</f>
        <v>84.2</v>
      </c>
      <c r="R46" s="5">
        <v>575</v>
      </c>
      <c r="S46" s="45">
        <v>12362</v>
      </c>
      <c r="T46" s="5">
        <f>Table1[[#This Row],[May_Projected_Pay]]*0.08</f>
        <v>988.96</v>
      </c>
      <c r="U46" s="5">
        <f>Table1[[#This Row],[May_Projected_Pay]]*0.02</f>
        <v>247.24</v>
      </c>
      <c r="V46" s="5">
        <v>575</v>
      </c>
      <c r="W46" s="45">
        <v>15236</v>
      </c>
      <c r="X46" s="5">
        <f>Table1[[#This Row],[Jun_Projected_Pay]]*0.08</f>
        <v>1218.8800000000001</v>
      </c>
      <c r="Y46" s="5">
        <f>Table1[[#This Row],[Jun_Projected_Pay]]*0.02</f>
        <v>304.72000000000003</v>
      </c>
      <c r="Z46" s="5">
        <v>575</v>
      </c>
      <c r="AA46" s="45">
        <v>14320</v>
      </c>
      <c r="AB46" s="5">
        <f>Table1[[#This Row],[Jul_Projected_Pay]]*0.08</f>
        <v>1145.6000000000001</v>
      </c>
      <c r="AC46" s="5">
        <f>Table1[[#This Row],[Jul_Projected_Pay]]*0.02</f>
        <v>286.40000000000003</v>
      </c>
      <c r="AD46" s="5">
        <v>575</v>
      </c>
      <c r="AE46" s="45">
        <v>12652</v>
      </c>
      <c r="AF46" s="5">
        <f>Table1[[#This Row],[Aug_Projected_Pay]]*0.08</f>
        <v>1012.16</v>
      </c>
      <c r="AG46" s="5">
        <f>Table1[[#This Row],[Aug_Projected_Pay]]*0.02</f>
        <v>253.04</v>
      </c>
      <c r="AH46" s="5">
        <v>575</v>
      </c>
      <c r="AI46" s="45">
        <v>7999.7559570000003</v>
      </c>
      <c r="AJ46" s="5">
        <f>Table1[[#This Row],[Sep_Projected_Pay]]*0.08</f>
        <v>639.98047656000006</v>
      </c>
      <c r="AK46" s="5">
        <f>Table1[[#This Row],[Sep_Projected_Pay]]*0.02</f>
        <v>159.99511914000001</v>
      </c>
      <c r="AL46" s="5">
        <v>575</v>
      </c>
      <c r="AM46" s="45">
        <v>12335.159212</v>
      </c>
      <c r="AN46" s="5">
        <f>Table1[[#This Row],[Oct_Projected_Pay]]*0.08</f>
        <v>986.81273696000005</v>
      </c>
      <c r="AO46" s="5">
        <f>Table1[[#This Row],[Oct_Projected_Pay]]*0.02</f>
        <v>246.70318424000001</v>
      </c>
      <c r="AP46" s="5">
        <v>575</v>
      </c>
      <c r="AQ46" s="45">
        <v>9571.8016779999998</v>
      </c>
      <c r="AR46" s="5">
        <f>Table1[[#This Row],[Nov_Projected_Pay]]*0.08</f>
        <v>765.74413423999999</v>
      </c>
      <c r="AS46" s="5">
        <f>Table1[[#This Row],[Nov_Projected_Pay]]*0.02</f>
        <v>191.43603356</v>
      </c>
      <c r="AT46" s="5">
        <v>575</v>
      </c>
      <c r="AU46" s="45">
        <v>4265</v>
      </c>
      <c r="AV46" s="5">
        <f>Table1[[#This Row],[Dec_Projected_Pay]]*0.08</f>
        <v>341.2</v>
      </c>
      <c r="AW46" s="5">
        <f>Table1[[#This Row],[Dec_Projected_Pay]]*0.02</f>
        <v>85.3</v>
      </c>
      <c r="AX46" s="5">
        <v>575</v>
      </c>
      <c r="AY46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99597.716847000003</v>
      </c>
      <c r="AZ46" s="59">
        <f>D46+H46+L46+P46+T46+X46+AB46+AF46+AJ46+AN46+AR46+AV46</f>
        <v>7967.8173477599994</v>
      </c>
      <c r="BA46" s="59">
        <f>E46+I46+M46+Q46+U46+Y46+AC46+AG46+AK46+AO46+AS46+AW46</f>
        <v>1991.9543369399998</v>
      </c>
      <c r="BB46" s="59">
        <f>F46+J46+N46+R46+V46+Z46+AD46+AH46+AL46+AP46+AT46+AX46</f>
        <v>6858</v>
      </c>
    </row>
    <row r="47" spans="1:54" x14ac:dyDescent="0.3">
      <c r="A47" t="s">
        <v>120</v>
      </c>
      <c r="B47" t="s">
        <v>117</v>
      </c>
      <c r="C47" s="46">
        <v>3120</v>
      </c>
      <c r="D47" s="5">
        <f>Table1[[#This Row],[Jan_Projected_Pay]]*0.08</f>
        <v>249.6</v>
      </c>
      <c r="E47" s="5">
        <f>Table1[[#This Row],[Jan_Projected_Pay]]*0.02</f>
        <v>62.4</v>
      </c>
      <c r="F47" s="5">
        <v>458</v>
      </c>
      <c r="G47" s="45">
        <v>11787</v>
      </c>
      <c r="H47" s="5">
        <f>Table1[[#This Row],[Feb_Projected_Pay]]*0.08</f>
        <v>942.96</v>
      </c>
      <c r="I47" s="5">
        <f>Table1[[#This Row],[Feb_Projected_Pay]]*0.02</f>
        <v>235.74</v>
      </c>
      <c r="J47" s="5">
        <v>458</v>
      </c>
      <c r="K47" s="45">
        <v>13516</v>
      </c>
      <c r="L47" s="5">
        <f>Table1[[#This Row],[Mar_Projected_Pay]]*0.08</f>
        <v>1081.28</v>
      </c>
      <c r="M47" s="5">
        <f>Table1[[#This Row],[Mar_Projected_Pay]]*0.02</f>
        <v>270.32</v>
      </c>
      <c r="N47" s="5">
        <v>458</v>
      </c>
      <c r="O47" s="45">
        <v>14077.199847</v>
      </c>
      <c r="P47" s="5">
        <f>Table1[[#This Row],[Apr_Projected_Pay]]*0.08</f>
        <v>1126.17598776</v>
      </c>
      <c r="Q47" s="5">
        <f>Table1[[#This Row],[Apr_Projected_Pay]]*0.02</f>
        <v>281.54399694</v>
      </c>
      <c r="R47" s="5">
        <v>458</v>
      </c>
      <c r="S47" s="45">
        <v>52345</v>
      </c>
      <c r="T47" s="5">
        <f>Table1[[#This Row],[May_Projected_Pay]]*0.08</f>
        <v>4187.6000000000004</v>
      </c>
      <c r="U47" s="5">
        <f>Table1[[#This Row],[May_Projected_Pay]]*0.02</f>
        <v>1046.9000000000001</v>
      </c>
      <c r="V47" s="5">
        <v>458</v>
      </c>
      <c r="W47" s="45">
        <v>10725</v>
      </c>
      <c r="X47" s="5">
        <f>Table1[[#This Row],[Jun_Projected_Pay]]*0.08</f>
        <v>858</v>
      </c>
      <c r="Y47" s="5">
        <f>Table1[[#This Row],[Jun_Projected_Pay]]*0.02</f>
        <v>214.5</v>
      </c>
      <c r="Z47" s="5">
        <v>458</v>
      </c>
      <c r="AA47" s="45">
        <v>33051</v>
      </c>
      <c r="AB47" s="5">
        <f>Table1[[#This Row],[Jul_Projected_Pay]]*0.08</f>
        <v>2644.08</v>
      </c>
      <c r="AC47" s="5">
        <f>Table1[[#This Row],[Jul_Projected_Pay]]*0.02</f>
        <v>661.02</v>
      </c>
      <c r="AD47" s="5">
        <v>458</v>
      </c>
      <c r="AE47" s="45">
        <v>33553</v>
      </c>
      <c r="AF47" s="5">
        <f>Table1[[#This Row],[Aug_Projected_Pay]]*0.08</f>
        <v>2684.2400000000002</v>
      </c>
      <c r="AG47" s="5">
        <f>Table1[[#This Row],[Aug_Projected_Pay]]*0.02</f>
        <v>671.06000000000006</v>
      </c>
      <c r="AH47" s="5">
        <v>458</v>
      </c>
      <c r="AI47" s="45">
        <v>26161</v>
      </c>
      <c r="AJ47" s="5">
        <f>Table1[[#This Row],[Sep_Projected_Pay]]*0.08</f>
        <v>2092.88</v>
      </c>
      <c r="AK47" s="5">
        <f>Table1[[#This Row],[Sep_Projected_Pay]]*0.02</f>
        <v>523.22</v>
      </c>
      <c r="AL47" s="5">
        <v>458</v>
      </c>
      <c r="AM47" s="45">
        <v>36184</v>
      </c>
      <c r="AN47" s="5">
        <f>Table1[[#This Row],[Oct_Projected_Pay]]*0.08</f>
        <v>2894.7200000000003</v>
      </c>
      <c r="AO47" s="5">
        <f>Table1[[#This Row],[Oct_Projected_Pay]]*0.02</f>
        <v>723.68000000000006</v>
      </c>
      <c r="AP47" s="5">
        <v>458</v>
      </c>
      <c r="AQ47" s="45">
        <v>5835</v>
      </c>
      <c r="AR47" s="5">
        <f>Table1[[#This Row],[Nov_Projected_Pay]]*0.08</f>
        <v>466.8</v>
      </c>
      <c r="AS47" s="5">
        <f>Table1[[#This Row],[Nov_Projected_Pay]]*0.02</f>
        <v>116.7</v>
      </c>
      <c r="AT47" s="5">
        <v>458</v>
      </c>
      <c r="AU47" s="45">
        <v>26541</v>
      </c>
      <c r="AV47" s="5">
        <f>Table1[[#This Row],[Dec_Projected_Pay]]*0.08</f>
        <v>2123.2800000000002</v>
      </c>
      <c r="AW47" s="5">
        <f>Table1[[#This Row],[Dec_Projected_Pay]]*0.02</f>
        <v>530.82000000000005</v>
      </c>
      <c r="AX47" s="5">
        <v>458</v>
      </c>
      <c r="AY47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266895.19984700001</v>
      </c>
      <c r="AZ47" s="59">
        <f>D47+H47+L47+P47+T47+X47+AB47+AF47+AJ47+AN47+AR47+AV47</f>
        <v>21351.61598776</v>
      </c>
      <c r="BA47" s="59">
        <f>E47+I47+M47+Q47+U47+Y47+AC47+AG47+AK47+AO47+AS47+AW47</f>
        <v>5337.9039969400001</v>
      </c>
      <c r="BB47" s="59">
        <f>F47+J47+N47+R47+V47+Z47+AD47+AH47+AL47+AP47+AT47+AX47</f>
        <v>5496</v>
      </c>
    </row>
    <row r="48" spans="1:54" x14ac:dyDescent="0.3">
      <c r="A48" t="s">
        <v>121</v>
      </c>
      <c r="B48" t="s">
        <v>117</v>
      </c>
      <c r="C48" s="46">
        <v>6289</v>
      </c>
      <c r="D48" s="5">
        <f>Table1[[#This Row],[Jan_Projected_Pay]]*0.08</f>
        <v>503.12</v>
      </c>
      <c r="E48" s="5">
        <f>Table1[[#This Row],[Jan_Projected_Pay]]*0.02</f>
        <v>125.78</v>
      </c>
      <c r="F48" s="5">
        <v>600</v>
      </c>
      <c r="G48" s="45">
        <v>6012</v>
      </c>
      <c r="H48" s="5">
        <f>Table1[[#This Row],[Feb_Projected_Pay]]*0.08</f>
        <v>480.96000000000004</v>
      </c>
      <c r="I48" s="5">
        <f>Table1[[#This Row],[Feb_Projected_Pay]]*0.02</f>
        <v>120.24000000000001</v>
      </c>
      <c r="J48" s="5">
        <v>600</v>
      </c>
      <c r="K48" s="45">
        <v>20337</v>
      </c>
      <c r="L48" s="5">
        <f>Table1[[#This Row],[Mar_Projected_Pay]]*0.08</f>
        <v>1626.96</v>
      </c>
      <c r="M48" s="5">
        <f>Table1[[#This Row],[Mar_Projected_Pay]]*0.02</f>
        <v>406.74</v>
      </c>
      <c r="N48" s="5">
        <v>600</v>
      </c>
      <c r="O48" s="45">
        <v>8712</v>
      </c>
      <c r="P48" s="5">
        <f>Table1[[#This Row],[Apr_Projected_Pay]]*0.08</f>
        <v>696.96</v>
      </c>
      <c r="Q48" s="5">
        <f>Table1[[#This Row],[Apr_Projected_Pay]]*0.02</f>
        <v>174.24</v>
      </c>
      <c r="R48" s="5">
        <v>600</v>
      </c>
      <c r="S48" s="45">
        <v>10734</v>
      </c>
      <c r="T48" s="5">
        <f>Table1[[#This Row],[May_Projected_Pay]]*0.08</f>
        <v>858.72</v>
      </c>
      <c r="U48" s="5">
        <f>Table1[[#This Row],[May_Projected_Pay]]*0.02</f>
        <v>214.68</v>
      </c>
      <c r="V48" s="5">
        <v>600</v>
      </c>
      <c r="W48" s="45">
        <v>34691</v>
      </c>
      <c r="X48" s="5">
        <f>Table1[[#This Row],[Jun_Projected_Pay]]*0.08</f>
        <v>2775.28</v>
      </c>
      <c r="Y48" s="5">
        <f>Table1[[#This Row],[Jun_Projected_Pay]]*0.02</f>
        <v>693.82</v>
      </c>
      <c r="Z48" s="5">
        <v>600</v>
      </c>
      <c r="AA48" s="45">
        <v>43665.143550000001</v>
      </c>
      <c r="AB48" s="5">
        <f>Table1[[#This Row],[Jul_Projected_Pay]]*0.08</f>
        <v>3493.2114839999999</v>
      </c>
      <c r="AC48" s="5">
        <f>Table1[[#This Row],[Jul_Projected_Pay]]*0.02</f>
        <v>873.30287099999998</v>
      </c>
      <c r="AD48" s="5">
        <v>600</v>
      </c>
      <c r="AE48" s="45">
        <v>25872</v>
      </c>
      <c r="AF48" s="5">
        <f>Table1[[#This Row],[Aug_Projected_Pay]]*0.08</f>
        <v>2069.7600000000002</v>
      </c>
      <c r="AG48" s="5">
        <f>Table1[[#This Row],[Aug_Projected_Pay]]*0.02</f>
        <v>517.44000000000005</v>
      </c>
      <c r="AH48" s="5">
        <v>600</v>
      </c>
      <c r="AI48" s="45">
        <v>12761</v>
      </c>
      <c r="AJ48" s="5">
        <f>Table1[[#This Row],[Sep_Projected_Pay]]*0.08</f>
        <v>1020.88</v>
      </c>
      <c r="AK48" s="5">
        <f>Table1[[#This Row],[Sep_Projected_Pay]]*0.02</f>
        <v>255.22</v>
      </c>
      <c r="AL48" s="5">
        <v>600</v>
      </c>
      <c r="AM48" s="45">
        <v>35222</v>
      </c>
      <c r="AN48" s="5">
        <f>Table1[[#This Row],[Oct_Projected_Pay]]*0.08</f>
        <v>2817.76</v>
      </c>
      <c r="AO48" s="5">
        <f>Table1[[#This Row],[Oct_Projected_Pay]]*0.02</f>
        <v>704.44</v>
      </c>
      <c r="AP48" s="5">
        <v>600</v>
      </c>
      <c r="AQ48" s="45">
        <v>13368</v>
      </c>
      <c r="AR48" s="5">
        <f>Table1[[#This Row],[Nov_Projected_Pay]]*0.08</f>
        <v>1069.44</v>
      </c>
      <c r="AS48" s="5">
        <f>Table1[[#This Row],[Nov_Projected_Pay]]*0.02</f>
        <v>267.36</v>
      </c>
      <c r="AT48" s="5">
        <v>600</v>
      </c>
      <c r="AU48" s="45">
        <v>8003</v>
      </c>
      <c r="AV48" s="5">
        <f>Table1[[#This Row],[Dec_Projected_Pay]]*0.08</f>
        <v>640.24</v>
      </c>
      <c r="AW48" s="5">
        <f>Table1[[#This Row],[Dec_Projected_Pay]]*0.02</f>
        <v>160.06</v>
      </c>
      <c r="AX48" s="5">
        <v>600</v>
      </c>
      <c r="AY48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225666.14355000001</v>
      </c>
      <c r="AZ48" s="59">
        <f>D48+H48+L48+P48+T48+X48+AB48+AF48+AJ48+AN48+AR48+AV48</f>
        <v>18053.291484000001</v>
      </c>
      <c r="BA48" s="59">
        <f>E48+I48+M48+Q48+U48+Y48+AC48+AG48+AK48+AO48+AS48+AW48</f>
        <v>4513.3228710000003</v>
      </c>
      <c r="BB48" s="59">
        <f>F48+J48+N48+R48+V48+Z48+AD48+AH48+AL48+AP48+AT48+AX48</f>
        <v>7200</v>
      </c>
    </row>
    <row r="49" spans="1:54" x14ac:dyDescent="0.3">
      <c r="A49" s="7" t="s">
        <v>122</v>
      </c>
      <c r="B49" t="s">
        <v>123</v>
      </c>
      <c r="C49" s="46">
        <v>9544</v>
      </c>
      <c r="D49" s="5">
        <f>Table1[[#This Row],[Jan_Projected_Pay]]*0.08</f>
        <v>763.52</v>
      </c>
      <c r="E49" s="5">
        <f>Table1[[#This Row],[Jan_Projected_Pay]]*0.02</f>
        <v>190.88</v>
      </c>
      <c r="F49" s="5">
        <v>458</v>
      </c>
      <c r="G49" s="45">
        <v>3759.9581669999998</v>
      </c>
      <c r="H49" s="5">
        <f>Table1[[#This Row],[Feb_Projected_Pay]]*0.08</f>
        <v>300.79665335999999</v>
      </c>
      <c r="I49" s="5">
        <f>Table1[[#This Row],[Feb_Projected_Pay]]*0.02</f>
        <v>75.199163339999998</v>
      </c>
      <c r="J49" s="5">
        <v>458</v>
      </c>
      <c r="K49" s="45">
        <v>34196</v>
      </c>
      <c r="L49" s="5">
        <f>Table1[[#This Row],[Mar_Projected_Pay]]*0.08</f>
        <v>2735.68</v>
      </c>
      <c r="M49" s="5">
        <f>Table1[[#This Row],[Mar_Projected_Pay]]*0.02</f>
        <v>683.92</v>
      </c>
      <c r="N49" s="5">
        <v>458</v>
      </c>
      <c r="O49" s="45">
        <v>48272</v>
      </c>
      <c r="P49" s="5">
        <f>Table1[[#This Row],[Apr_Projected_Pay]]*0.08</f>
        <v>3861.76</v>
      </c>
      <c r="Q49" s="5">
        <f>Table1[[#This Row],[Apr_Projected_Pay]]*0.02</f>
        <v>965.44</v>
      </c>
      <c r="R49" s="5">
        <v>458</v>
      </c>
      <c r="S49" s="45">
        <v>65632</v>
      </c>
      <c r="T49" s="5">
        <f>Table1[[#This Row],[May_Projected_Pay]]*0.08</f>
        <v>5250.56</v>
      </c>
      <c r="U49" s="5">
        <f>Table1[[#This Row],[May_Projected_Pay]]*0.02</f>
        <v>1312.64</v>
      </c>
      <c r="V49" s="5">
        <v>458</v>
      </c>
      <c r="W49" s="45">
        <v>41290</v>
      </c>
      <c r="X49" s="5">
        <f>Table1[[#This Row],[Jun_Projected_Pay]]*0.08</f>
        <v>3303.2000000000003</v>
      </c>
      <c r="Y49" s="5">
        <f>Table1[[#This Row],[Jun_Projected_Pay]]*0.02</f>
        <v>825.80000000000007</v>
      </c>
      <c r="Z49" s="5">
        <v>458</v>
      </c>
      <c r="AA49" s="45">
        <v>41157</v>
      </c>
      <c r="AB49" s="5">
        <f>Table1[[#This Row],[Jul_Projected_Pay]]*0.08</f>
        <v>3292.56</v>
      </c>
      <c r="AC49" s="5">
        <f>Table1[[#This Row],[Jul_Projected_Pay]]*0.02</f>
        <v>823.14</v>
      </c>
      <c r="AD49" s="5">
        <v>458</v>
      </c>
      <c r="AE49" s="45">
        <v>93342</v>
      </c>
      <c r="AF49" s="5">
        <f>Table1[[#This Row],[Aug_Projected_Pay]]*0.08</f>
        <v>7467.3600000000006</v>
      </c>
      <c r="AG49" s="5">
        <f>Table1[[#This Row],[Aug_Projected_Pay]]*0.02</f>
        <v>1866.8400000000001</v>
      </c>
      <c r="AH49" s="5">
        <v>458</v>
      </c>
      <c r="AI49" s="45">
        <v>58267</v>
      </c>
      <c r="AJ49" s="5">
        <f>Table1[[#This Row],[Sep_Projected_Pay]]*0.08</f>
        <v>4661.3599999999997</v>
      </c>
      <c r="AK49" s="5">
        <f>Table1[[#This Row],[Sep_Projected_Pay]]*0.02</f>
        <v>1165.3399999999999</v>
      </c>
      <c r="AL49" s="5">
        <v>458</v>
      </c>
      <c r="AM49" s="45">
        <v>195321</v>
      </c>
      <c r="AN49" s="5">
        <f>Table1[[#This Row],[Oct_Projected_Pay]]*0.08</f>
        <v>15625.68</v>
      </c>
      <c r="AO49" s="5">
        <f>Table1[[#This Row],[Oct_Projected_Pay]]*0.02</f>
        <v>3906.42</v>
      </c>
      <c r="AP49" s="5">
        <v>458</v>
      </c>
      <c r="AQ49" s="45">
        <v>18123</v>
      </c>
      <c r="AR49" s="5">
        <f>Table1[[#This Row],[Nov_Projected_Pay]]*0.08</f>
        <v>1449.84</v>
      </c>
      <c r="AS49" s="5">
        <f>Table1[[#This Row],[Nov_Projected_Pay]]*0.02</f>
        <v>362.46</v>
      </c>
      <c r="AT49" s="5">
        <v>458</v>
      </c>
      <c r="AU49" s="45">
        <v>23690</v>
      </c>
      <c r="AV49" s="5">
        <f>Table1[[#This Row],[Dec_Projected_Pay]]*0.08</f>
        <v>1895.2</v>
      </c>
      <c r="AW49" s="5">
        <f>Table1[[#This Row],[Dec_Projected_Pay]]*0.02</f>
        <v>473.8</v>
      </c>
      <c r="AX49" s="5">
        <v>458</v>
      </c>
      <c r="AY49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632593.95816699998</v>
      </c>
      <c r="AZ49" s="59">
        <f>D49+H49+L49+P49+T49+X49+AB49+AF49+AJ49+AN49+AR49+AV49</f>
        <v>50607.516653359999</v>
      </c>
      <c r="BA49" s="59">
        <f>E49+I49+M49+Q49+U49+Y49+AC49+AG49+AK49+AO49+AS49+AW49</f>
        <v>12651.87916334</v>
      </c>
      <c r="BB49" s="59">
        <f>F49+J49+N49+R49+V49+Z49+AD49+AH49+AL49+AP49+AT49+AX49</f>
        <v>5496</v>
      </c>
    </row>
    <row r="50" spans="1:54" x14ac:dyDescent="0.3">
      <c r="A50" t="s">
        <v>124</v>
      </c>
      <c r="B50" t="s">
        <v>216</v>
      </c>
      <c r="C50" s="46">
        <v>0</v>
      </c>
      <c r="D50" s="5">
        <f>Table1[[#This Row],[Jan_Projected_Pay]]*0.08</f>
        <v>0</v>
      </c>
      <c r="E50" s="5">
        <f>Table1[[#This Row],[Jan_Projected_Pay]]*0.02</f>
        <v>0</v>
      </c>
      <c r="F50" s="5">
        <v>650</v>
      </c>
      <c r="G50" s="45">
        <v>5000</v>
      </c>
      <c r="H50" s="5">
        <f>Table1[[#This Row],[Feb_Projected_Pay]]*0.08</f>
        <v>400</v>
      </c>
      <c r="I50" s="5">
        <f>Table1[[#This Row],[Feb_Projected_Pay]]*0.02</f>
        <v>100</v>
      </c>
      <c r="J50" s="5">
        <v>650</v>
      </c>
      <c r="K50" s="45">
        <v>7500</v>
      </c>
      <c r="L50" s="5">
        <f>Table1[[#This Row],[Mar_Projected_Pay]]*0.08</f>
        <v>600</v>
      </c>
      <c r="M50" s="5">
        <f>Table1[[#This Row],[Mar_Projected_Pay]]*0.02</f>
        <v>150</v>
      </c>
      <c r="N50" s="5">
        <v>650</v>
      </c>
      <c r="O50" s="45">
        <v>10000</v>
      </c>
      <c r="P50" s="5">
        <f>Table1[[#This Row],[Apr_Projected_Pay]]*0.08</f>
        <v>800</v>
      </c>
      <c r="Q50" s="5">
        <f>Table1[[#This Row],[Apr_Projected_Pay]]*0.02</f>
        <v>200</v>
      </c>
      <c r="R50" s="5">
        <v>650</v>
      </c>
      <c r="S50" s="45">
        <v>25000</v>
      </c>
      <c r="T50" s="5">
        <f>Table1[[#This Row],[May_Projected_Pay]]*0.08</f>
        <v>2000</v>
      </c>
      <c r="U50" s="5">
        <f>Table1[[#This Row],[May_Projected_Pay]]*0.02</f>
        <v>500</v>
      </c>
      <c r="V50" s="5">
        <v>650</v>
      </c>
      <c r="W50" s="45">
        <v>31498.593516915149</v>
      </c>
      <c r="X50" s="5">
        <f>Table1[[#This Row],[Jun_Projected_Pay]]*0.08</f>
        <v>2519.887481353212</v>
      </c>
      <c r="Y50" s="5">
        <f>Table1[[#This Row],[Jun_Projected_Pay]]*0.02</f>
        <v>629.97187033830301</v>
      </c>
      <c r="Z50" s="5">
        <v>650</v>
      </c>
      <c r="AA50" s="45">
        <v>19500</v>
      </c>
      <c r="AB50" s="5">
        <f>Table1[[#This Row],[Jul_Projected_Pay]]*0.08</f>
        <v>1560</v>
      </c>
      <c r="AC50" s="5">
        <f>Table1[[#This Row],[Jul_Projected_Pay]]*0.02</f>
        <v>390</v>
      </c>
      <c r="AD50" s="5">
        <v>650</v>
      </c>
      <c r="AE50" s="45">
        <v>15200</v>
      </c>
      <c r="AF50" s="5">
        <f>Table1[[#This Row],[Aug_Projected_Pay]]*0.08</f>
        <v>1216</v>
      </c>
      <c r="AG50" s="5">
        <f>Table1[[#This Row],[Aug_Projected_Pay]]*0.02</f>
        <v>304</v>
      </c>
      <c r="AH50" s="5">
        <v>650</v>
      </c>
      <c r="AI50" s="45">
        <v>25340</v>
      </c>
      <c r="AJ50" s="5">
        <f>Table1[[#This Row],[Sep_Projected_Pay]]*0.08</f>
        <v>2027.2</v>
      </c>
      <c r="AK50" s="5">
        <f>Table1[[#This Row],[Sep_Projected_Pay]]*0.02</f>
        <v>506.8</v>
      </c>
      <c r="AL50" s="5">
        <v>650</v>
      </c>
      <c r="AM50" s="45">
        <v>16409.807576736312</v>
      </c>
      <c r="AN50" s="5">
        <f>Table1[[#This Row],[Oct_Projected_Pay]]*0.08</f>
        <v>1312.784606138905</v>
      </c>
      <c r="AO50" s="5">
        <f>Table1[[#This Row],[Oct_Projected_Pay]]*0.02</f>
        <v>328.19615153472625</v>
      </c>
      <c r="AP50" s="5">
        <v>650</v>
      </c>
      <c r="AQ50" s="45">
        <v>16240</v>
      </c>
      <c r="AR50" s="5">
        <f>Table1[[#This Row],[Nov_Projected_Pay]]*0.08</f>
        <v>1299.2</v>
      </c>
      <c r="AS50" s="5">
        <f>Table1[[#This Row],[Nov_Projected_Pay]]*0.02</f>
        <v>324.8</v>
      </c>
      <c r="AT50" s="5">
        <v>650</v>
      </c>
      <c r="AU50" s="45">
        <v>11608.04863130822</v>
      </c>
      <c r="AV50" s="5">
        <f>Table1[[#This Row],[Dec_Projected_Pay]]*0.08</f>
        <v>928.64389050465763</v>
      </c>
      <c r="AW50" s="5">
        <f>Table1[[#This Row],[Dec_Projected_Pay]]*0.02</f>
        <v>232.16097262616441</v>
      </c>
      <c r="AX50" s="5">
        <v>650</v>
      </c>
      <c r="AY50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183296.44972495968</v>
      </c>
      <c r="AZ50" s="59">
        <f>D50+H50+L50+P50+T50+X50+AB50+AF50+AJ50+AN50+AR50+AV50</f>
        <v>14663.715977996777</v>
      </c>
      <c r="BA50" s="59">
        <f>E50+I50+M50+Q50+U50+Y50+AC50+AG50+AK50+AO50+AS50+AW50</f>
        <v>3665.9289944991942</v>
      </c>
      <c r="BB50" s="59">
        <f>F50+J50+N50+R50+V50+Z50+AD50+AH50+AL50+AP50+AT50+AX50</f>
        <v>7800</v>
      </c>
    </row>
    <row r="51" spans="1:54" x14ac:dyDescent="0.3">
      <c r="A51" t="s">
        <v>125</v>
      </c>
      <c r="B51" t="s">
        <v>216</v>
      </c>
      <c r="C51" s="46">
        <v>0</v>
      </c>
      <c r="D51" s="5">
        <f>Table1[[#This Row],[Jan_Projected_Pay]]*0.08</f>
        <v>0</v>
      </c>
      <c r="E51" s="5">
        <f>Table1[[#This Row],[Jan_Projected_Pay]]*0.02</f>
        <v>0</v>
      </c>
      <c r="F51" s="5">
        <v>650</v>
      </c>
      <c r="G51" s="45">
        <v>5000</v>
      </c>
      <c r="H51" s="5">
        <f>Table1[[#This Row],[Feb_Projected_Pay]]*0.08</f>
        <v>400</v>
      </c>
      <c r="I51" s="5">
        <f>Table1[[#This Row],[Feb_Projected_Pay]]*0.02</f>
        <v>100</v>
      </c>
      <c r="J51" s="5">
        <v>650</v>
      </c>
      <c r="K51" s="45">
        <v>7500</v>
      </c>
      <c r="L51" s="5">
        <f>Table1[[#This Row],[Mar_Projected_Pay]]*0.08</f>
        <v>600</v>
      </c>
      <c r="M51" s="5">
        <f>Table1[[#This Row],[Mar_Projected_Pay]]*0.02</f>
        <v>150</v>
      </c>
      <c r="N51" s="5">
        <v>650</v>
      </c>
      <c r="O51" s="45">
        <v>10000</v>
      </c>
      <c r="P51" s="5">
        <f>Table1[[#This Row],[Apr_Projected_Pay]]*0.08</f>
        <v>800</v>
      </c>
      <c r="Q51" s="5">
        <f>Table1[[#This Row],[Apr_Projected_Pay]]*0.02</f>
        <v>200</v>
      </c>
      <c r="R51" s="5">
        <v>650</v>
      </c>
      <c r="S51" s="45">
        <v>25000</v>
      </c>
      <c r="T51" s="5">
        <f>Table1[[#This Row],[May_Projected_Pay]]*0.08</f>
        <v>2000</v>
      </c>
      <c r="U51" s="5">
        <f>Table1[[#This Row],[May_Projected_Pay]]*0.02</f>
        <v>500</v>
      </c>
      <c r="V51" s="5">
        <v>650</v>
      </c>
      <c r="W51" s="45">
        <v>27067.833680392621</v>
      </c>
      <c r="X51" s="5">
        <f>Table1[[#This Row],[Jun_Projected_Pay]]*0.08</f>
        <v>2165.4266944314099</v>
      </c>
      <c r="Y51" s="5">
        <f>Table1[[#This Row],[Jun_Projected_Pay]]*0.02</f>
        <v>541.35667360785249</v>
      </c>
      <c r="Z51" s="5">
        <v>650</v>
      </c>
      <c r="AA51" s="45">
        <v>18750</v>
      </c>
      <c r="AB51" s="5">
        <f>Table1[[#This Row],[Jul_Projected_Pay]]*0.08</f>
        <v>1500</v>
      </c>
      <c r="AC51" s="5">
        <f>Table1[[#This Row],[Jul_Projected_Pay]]*0.02</f>
        <v>375</v>
      </c>
      <c r="AD51" s="5">
        <v>650</v>
      </c>
      <c r="AE51" s="45">
        <v>16520</v>
      </c>
      <c r="AF51" s="5">
        <f>Table1[[#This Row],[Aug_Projected_Pay]]*0.08</f>
        <v>1321.6000000000001</v>
      </c>
      <c r="AG51" s="5">
        <f>Table1[[#This Row],[Aug_Projected_Pay]]*0.02</f>
        <v>330.40000000000003</v>
      </c>
      <c r="AH51" s="5">
        <v>650</v>
      </c>
      <c r="AI51" s="45">
        <v>23316.885474764422</v>
      </c>
      <c r="AJ51" s="5">
        <f>Table1[[#This Row],[Sep_Projected_Pay]]*0.08</f>
        <v>1865.3508379811537</v>
      </c>
      <c r="AK51" s="5">
        <f>Table1[[#This Row],[Sep_Projected_Pay]]*0.02</f>
        <v>466.33770949528844</v>
      </c>
      <c r="AL51" s="5">
        <v>650</v>
      </c>
      <c r="AM51" s="45">
        <v>14320</v>
      </c>
      <c r="AN51" s="5">
        <f>Table1[[#This Row],[Oct_Projected_Pay]]*0.08</f>
        <v>1145.6000000000001</v>
      </c>
      <c r="AO51" s="5">
        <f>Table1[[#This Row],[Oct_Projected_Pay]]*0.02</f>
        <v>286.40000000000003</v>
      </c>
      <c r="AP51" s="5">
        <v>650</v>
      </c>
      <c r="AQ51" s="45">
        <v>15786.298011065481</v>
      </c>
      <c r="AR51" s="5">
        <f>Table1[[#This Row],[Nov_Projected_Pay]]*0.08</f>
        <v>1262.9038408852384</v>
      </c>
      <c r="AS51" s="5">
        <f>Table1[[#This Row],[Nov_Projected_Pay]]*0.02</f>
        <v>315.72596022130961</v>
      </c>
      <c r="AT51" s="5">
        <v>650</v>
      </c>
      <c r="AU51" s="45">
        <v>8816.4316643891343</v>
      </c>
      <c r="AV51" s="5">
        <f>Table1[[#This Row],[Dec_Projected_Pay]]*0.08</f>
        <v>705.31453315113072</v>
      </c>
      <c r="AW51" s="5">
        <f>Table1[[#This Row],[Dec_Projected_Pay]]*0.02</f>
        <v>176.32863328778268</v>
      </c>
      <c r="AX51" s="5">
        <v>650</v>
      </c>
      <c r="AY51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172077.44883061165</v>
      </c>
      <c r="AZ51" s="59">
        <f>D51+H51+L51+P51+T51+X51+AB51+AF51+AJ51+AN51+AR51+AV51</f>
        <v>13766.195906448933</v>
      </c>
      <c r="BA51" s="59">
        <f>E51+I51+M51+Q51+U51+Y51+AC51+AG51+AK51+AO51+AS51+AW51</f>
        <v>3441.5489766122332</v>
      </c>
      <c r="BB51" s="59">
        <f>F51+J51+N51+R51+V51+Z51+AD51+AH51+AL51+AP51+AT51+AX51</f>
        <v>7800</v>
      </c>
    </row>
    <row r="52" spans="1:54" x14ac:dyDescent="0.3">
      <c r="A52" t="s">
        <v>126</v>
      </c>
      <c r="B52" t="s">
        <v>216</v>
      </c>
      <c r="C52" s="46">
        <v>0</v>
      </c>
      <c r="D52" s="5">
        <f>Table1[[#This Row],[Jan_Projected_Pay]]*0.08</f>
        <v>0</v>
      </c>
      <c r="E52" s="5">
        <f>Table1[[#This Row],[Jan_Projected_Pay]]*0.02</f>
        <v>0</v>
      </c>
      <c r="F52" s="5">
        <v>650</v>
      </c>
      <c r="G52" s="45">
        <v>5000</v>
      </c>
      <c r="H52" s="5">
        <f>Table1[[#This Row],[Feb_Projected_Pay]]*0.08</f>
        <v>400</v>
      </c>
      <c r="I52" s="5">
        <f>Table1[[#This Row],[Feb_Projected_Pay]]*0.02</f>
        <v>100</v>
      </c>
      <c r="J52" s="5">
        <v>650</v>
      </c>
      <c r="K52" s="45">
        <v>7500</v>
      </c>
      <c r="L52" s="5">
        <f>Table1[[#This Row],[Mar_Projected_Pay]]*0.08</f>
        <v>600</v>
      </c>
      <c r="M52" s="5">
        <f>Table1[[#This Row],[Mar_Projected_Pay]]*0.02</f>
        <v>150</v>
      </c>
      <c r="N52" s="5">
        <v>650</v>
      </c>
      <c r="O52" s="45">
        <v>10000</v>
      </c>
      <c r="P52" s="5">
        <f>Table1[[#This Row],[Apr_Projected_Pay]]*0.08</f>
        <v>800</v>
      </c>
      <c r="Q52" s="5">
        <f>Table1[[#This Row],[Apr_Projected_Pay]]*0.02</f>
        <v>200</v>
      </c>
      <c r="R52" s="5">
        <v>650</v>
      </c>
      <c r="S52" s="45">
        <v>25000</v>
      </c>
      <c r="T52" s="5">
        <f>Table1[[#This Row],[May_Projected_Pay]]*0.08</f>
        <v>2000</v>
      </c>
      <c r="U52" s="5">
        <f>Table1[[#This Row],[May_Projected_Pay]]*0.02</f>
        <v>500</v>
      </c>
      <c r="V52" s="5">
        <v>650</v>
      </c>
      <c r="W52" s="45">
        <v>19856.669039350389</v>
      </c>
      <c r="X52" s="5">
        <f>Table1[[#This Row],[Jun_Projected_Pay]]*0.08</f>
        <v>1588.5335231480312</v>
      </c>
      <c r="Y52" s="5">
        <f>Table1[[#This Row],[Jun_Projected_Pay]]*0.02</f>
        <v>397.13338078700781</v>
      </c>
      <c r="Z52" s="5">
        <v>650</v>
      </c>
      <c r="AA52" s="45">
        <v>15265</v>
      </c>
      <c r="AB52" s="5">
        <f>Table1[[#This Row],[Jul_Projected_Pay]]*0.08</f>
        <v>1221.2</v>
      </c>
      <c r="AC52" s="5">
        <f>Table1[[#This Row],[Jul_Projected_Pay]]*0.02</f>
        <v>305.3</v>
      </c>
      <c r="AD52" s="5">
        <v>650</v>
      </c>
      <c r="AE52" s="45">
        <v>19220</v>
      </c>
      <c r="AF52" s="5">
        <f>Table1[[#This Row],[Aug_Projected_Pay]]*0.08</f>
        <v>1537.6000000000001</v>
      </c>
      <c r="AG52" s="5">
        <f>Table1[[#This Row],[Aug_Projected_Pay]]*0.02</f>
        <v>384.40000000000003</v>
      </c>
      <c r="AH52" s="5">
        <v>650</v>
      </c>
      <c r="AI52" s="45">
        <v>6720</v>
      </c>
      <c r="AJ52" s="5">
        <f>Table1[[#This Row],[Sep_Projected_Pay]]*0.08</f>
        <v>537.6</v>
      </c>
      <c r="AK52" s="5">
        <f>Table1[[#This Row],[Sep_Projected_Pay]]*0.02</f>
        <v>134.4</v>
      </c>
      <c r="AL52" s="5">
        <v>650</v>
      </c>
      <c r="AM52" s="45">
        <v>13140.023167478979</v>
      </c>
      <c r="AN52" s="5">
        <f>Table1[[#This Row],[Oct_Projected_Pay]]*0.08</f>
        <v>1051.2018533983185</v>
      </c>
      <c r="AO52" s="5">
        <f>Table1[[#This Row],[Oct_Projected_Pay]]*0.02</f>
        <v>262.80046334957962</v>
      </c>
      <c r="AP52" s="5">
        <v>650</v>
      </c>
      <c r="AQ52" s="45">
        <v>11408.024972837589</v>
      </c>
      <c r="AR52" s="5">
        <f>Table1[[#This Row],[Nov_Projected_Pay]]*0.08</f>
        <v>912.64199782700712</v>
      </c>
      <c r="AS52" s="5">
        <f>Table1[[#This Row],[Nov_Projected_Pay]]*0.02</f>
        <v>228.16049945675178</v>
      </c>
      <c r="AT52" s="5">
        <v>650</v>
      </c>
      <c r="AU52" s="45">
        <v>13567.906218154159</v>
      </c>
      <c r="AV52" s="5">
        <f>Table1[[#This Row],[Dec_Projected_Pay]]*0.08</f>
        <v>1085.4324974523329</v>
      </c>
      <c r="AW52" s="5">
        <f>Table1[[#This Row],[Dec_Projected_Pay]]*0.02</f>
        <v>271.35812436308322</v>
      </c>
      <c r="AX52" s="5">
        <v>650</v>
      </c>
      <c r="AY52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146677.62339782112</v>
      </c>
      <c r="AZ52" s="59">
        <f>D52+H52+L52+P52+T52+X52+AB52+AF52+AJ52+AN52+AR52+AV52</f>
        <v>11734.209871825691</v>
      </c>
      <c r="BA52" s="59">
        <f>E52+I52+M52+Q52+U52+Y52+AC52+AG52+AK52+AO52+AS52+AW52</f>
        <v>2933.5524679564228</v>
      </c>
      <c r="BB52" s="59">
        <f>F52+J52+N52+R52+V52+Z52+AD52+AH52+AL52+AP52+AT52+AX52</f>
        <v>7800</v>
      </c>
    </row>
    <row r="53" spans="1:54" x14ac:dyDescent="0.3">
      <c r="A53" t="s">
        <v>127</v>
      </c>
      <c r="B53" t="s">
        <v>216</v>
      </c>
      <c r="C53" s="46">
        <v>0</v>
      </c>
      <c r="D53" s="5">
        <f>Table1[[#This Row],[Jan_Projected_Pay]]*0.08</f>
        <v>0</v>
      </c>
      <c r="E53" s="5">
        <f>Table1[[#This Row],[Jan_Projected_Pay]]*0.02</f>
        <v>0</v>
      </c>
      <c r="F53" s="5">
        <v>650</v>
      </c>
      <c r="G53" s="45">
        <v>5000</v>
      </c>
      <c r="H53" s="5">
        <f>Table1[[#This Row],[Feb_Projected_Pay]]*0.08</f>
        <v>400</v>
      </c>
      <c r="I53" s="5">
        <f>Table1[[#This Row],[Feb_Projected_Pay]]*0.02</f>
        <v>100</v>
      </c>
      <c r="J53" s="5">
        <v>650</v>
      </c>
      <c r="K53" s="45">
        <v>7500</v>
      </c>
      <c r="L53" s="5">
        <f>Table1[[#This Row],[Mar_Projected_Pay]]*0.08</f>
        <v>600</v>
      </c>
      <c r="M53" s="5">
        <f>Table1[[#This Row],[Mar_Projected_Pay]]*0.02</f>
        <v>150</v>
      </c>
      <c r="N53" s="5">
        <v>650</v>
      </c>
      <c r="O53" s="45">
        <v>10000</v>
      </c>
      <c r="P53" s="5">
        <f>Table1[[#This Row],[Apr_Projected_Pay]]*0.08</f>
        <v>800</v>
      </c>
      <c r="Q53" s="5">
        <f>Table1[[#This Row],[Apr_Projected_Pay]]*0.02</f>
        <v>200</v>
      </c>
      <c r="R53" s="5">
        <v>650</v>
      </c>
      <c r="S53" s="45">
        <v>25000</v>
      </c>
      <c r="T53" s="5">
        <f>Table1[[#This Row],[May_Projected_Pay]]*0.08</f>
        <v>2000</v>
      </c>
      <c r="U53" s="5">
        <f>Table1[[#This Row],[May_Projected_Pay]]*0.02</f>
        <v>500</v>
      </c>
      <c r="V53" s="5">
        <v>650</v>
      </c>
      <c r="W53" s="45">
        <v>18625</v>
      </c>
      <c r="X53" s="5">
        <f>Table1[[#This Row],[Jun_Projected_Pay]]*0.08</f>
        <v>1490</v>
      </c>
      <c r="Y53" s="5">
        <f>Table1[[#This Row],[Jun_Projected_Pay]]*0.02</f>
        <v>372.5</v>
      </c>
      <c r="Z53" s="5">
        <v>650</v>
      </c>
      <c r="AA53" s="45">
        <v>20145</v>
      </c>
      <c r="AB53" s="5">
        <f>Table1[[#This Row],[Jul_Projected_Pay]]*0.08</f>
        <v>1611.6000000000001</v>
      </c>
      <c r="AC53" s="5">
        <f>Table1[[#This Row],[Jul_Projected_Pay]]*0.02</f>
        <v>402.90000000000003</v>
      </c>
      <c r="AD53" s="5">
        <v>650</v>
      </c>
      <c r="AE53" s="45">
        <v>18654</v>
      </c>
      <c r="AF53" s="5">
        <f>Table1[[#This Row],[Aug_Projected_Pay]]*0.08</f>
        <v>1492.32</v>
      </c>
      <c r="AG53" s="5">
        <f>Table1[[#This Row],[Aug_Projected_Pay]]*0.02</f>
        <v>373.08</v>
      </c>
      <c r="AH53" s="5">
        <v>650</v>
      </c>
      <c r="AI53" s="45">
        <v>11564</v>
      </c>
      <c r="AJ53" s="5">
        <f>Table1[[#This Row],[Sep_Projected_Pay]]*0.08</f>
        <v>925.12</v>
      </c>
      <c r="AK53" s="5">
        <f>Table1[[#This Row],[Sep_Projected_Pay]]*0.02</f>
        <v>231.28</v>
      </c>
      <c r="AL53" s="5">
        <v>650</v>
      </c>
      <c r="AM53" s="45">
        <v>13047.96437737933</v>
      </c>
      <c r="AN53" s="5">
        <f>Table1[[#This Row],[Oct_Projected_Pay]]*0.08</f>
        <v>1043.8371501903464</v>
      </c>
      <c r="AO53" s="5">
        <f>Table1[[#This Row],[Oct_Projected_Pay]]*0.02</f>
        <v>260.9592875475866</v>
      </c>
      <c r="AP53" s="5">
        <v>650</v>
      </c>
      <c r="AQ53" s="45">
        <v>15254</v>
      </c>
      <c r="AR53" s="5">
        <f>Table1[[#This Row],[Nov_Projected_Pay]]*0.08</f>
        <v>1220.32</v>
      </c>
      <c r="AS53" s="5">
        <f>Table1[[#This Row],[Nov_Projected_Pay]]*0.02</f>
        <v>305.08</v>
      </c>
      <c r="AT53" s="5">
        <v>650</v>
      </c>
      <c r="AU53" s="45">
        <v>8045.1936683309759</v>
      </c>
      <c r="AV53" s="5">
        <f>Table1[[#This Row],[Dec_Projected_Pay]]*0.08</f>
        <v>643.61549346647814</v>
      </c>
      <c r="AW53" s="5">
        <f>Table1[[#This Row],[Dec_Projected_Pay]]*0.02</f>
        <v>160.90387336661954</v>
      </c>
      <c r="AX53" s="5">
        <v>650</v>
      </c>
      <c r="AY53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152835.1580457103</v>
      </c>
      <c r="AZ53" s="59">
        <f>D53+H53+L53+P53+T53+X53+AB53+AF53+AJ53+AN53+AR53+AV53</f>
        <v>12226.812643656824</v>
      </c>
      <c r="BA53" s="59">
        <f>E53+I53+M53+Q53+U53+Y53+AC53+AG53+AK53+AO53+AS53+AW53</f>
        <v>3056.7031609142059</v>
      </c>
      <c r="BB53" s="59">
        <f>F53+J53+N53+R53+V53+Z53+AD53+AH53+AL53+AP53+AT53+AX53</f>
        <v>7800</v>
      </c>
    </row>
    <row r="54" spans="1:54" x14ac:dyDescent="0.3">
      <c r="A54" t="s">
        <v>129</v>
      </c>
      <c r="B54" t="s">
        <v>216</v>
      </c>
      <c r="C54" s="46">
        <v>0</v>
      </c>
      <c r="D54" s="5">
        <f>Table1[[#This Row],[Jan_Projected_Pay]]*0.08</f>
        <v>0</v>
      </c>
      <c r="E54" s="5">
        <f>Table1[[#This Row],[Jan_Projected_Pay]]*0.02</f>
        <v>0</v>
      </c>
      <c r="F54" s="5">
        <v>650</v>
      </c>
      <c r="G54" s="45">
        <v>5000</v>
      </c>
      <c r="H54" s="5">
        <f>Table1[[#This Row],[Feb_Projected_Pay]]*0.08</f>
        <v>400</v>
      </c>
      <c r="I54" s="5">
        <f>Table1[[#This Row],[Feb_Projected_Pay]]*0.02</f>
        <v>100</v>
      </c>
      <c r="J54" s="5">
        <v>650</v>
      </c>
      <c r="K54" s="45">
        <v>7500</v>
      </c>
      <c r="L54" s="5">
        <f>Table1[[#This Row],[Mar_Projected_Pay]]*0.08</f>
        <v>600</v>
      </c>
      <c r="M54" s="5">
        <f>Table1[[#This Row],[Mar_Projected_Pay]]*0.02</f>
        <v>150</v>
      </c>
      <c r="N54" s="5">
        <v>650</v>
      </c>
      <c r="O54" s="45">
        <v>10000</v>
      </c>
      <c r="P54" s="5">
        <f>Table1[[#This Row],[Apr_Projected_Pay]]*0.08</f>
        <v>800</v>
      </c>
      <c r="Q54" s="5">
        <f>Table1[[#This Row],[Apr_Projected_Pay]]*0.02</f>
        <v>200</v>
      </c>
      <c r="R54" s="5">
        <v>650</v>
      </c>
      <c r="S54" s="45">
        <v>25000</v>
      </c>
      <c r="T54" s="5">
        <f>Table1[[#This Row],[May_Projected_Pay]]*0.08</f>
        <v>2000</v>
      </c>
      <c r="U54" s="5">
        <f>Table1[[#This Row],[May_Projected_Pay]]*0.02</f>
        <v>500</v>
      </c>
      <c r="V54" s="5">
        <v>650</v>
      </c>
      <c r="W54" s="45">
        <v>14625</v>
      </c>
      <c r="X54" s="5">
        <f>Table1[[#This Row],[Jun_Projected_Pay]]*0.08</f>
        <v>1170</v>
      </c>
      <c r="Y54" s="5">
        <f>Table1[[#This Row],[Jun_Projected_Pay]]*0.02</f>
        <v>292.5</v>
      </c>
      <c r="Z54" s="5">
        <v>650</v>
      </c>
      <c r="AA54" s="45">
        <v>22321</v>
      </c>
      <c r="AB54" s="5">
        <f>Table1[[#This Row],[Jul_Projected_Pay]]*0.08</f>
        <v>1785.68</v>
      </c>
      <c r="AC54" s="5">
        <f>Table1[[#This Row],[Jul_Projected_Pay]]*0.02</f>
        <v>446.42</v>
      </c>
      <c r="AD54" s="5">
        <v>650</v>
      </c>
      <c r="AE54" s="45">
        <v>23460.674631974871</v>
      </c>
      <c r="AF54" s="5">
        <f>Table1[[#This Row],[Aug_Projected_Pay]]*0.08</f>
        <v>1876.8539705579897</v>
      </c>
      <c r="AG54" s="5">
        <f>Table1[[#This Row],[Aug_Projected_Pay]]*0.02</f>
        <v>469.21349263949742</v>
      </c>
      <c r="AH54" s="5">
        <v>650</v>
      </c>
      <c r="AI54" s="45">
        <v>9654</v>
      </c>
      <c r="AJ54" s="5">
        <f>Table1[[#This Row],[Sep_Projected_Pay]]*0.08</f>
        <v>772.32</v>
      </c>
      <c r="AK54" s="5">
        <f>Table1[[#This Row],[Sep_Projected_Pay]]*0.02</f>
        <v>193.08</v>
      </c>
      <c r="AL54" s="5">
        <v>650</v>
      </c>
      <c r="AM54" s="45">
        <v>22960.219855852451</v>
      </c>
      <c r="AN54" s="5">
        <f>Table1[[#This Row],[Oct_Projected_Pay]]*0.08</f>
        <v>1836.8175884681962</v>
      </c>
      <c r="AO54" s="5">
        <f>Table1[[#This Row],[Oct_Projected_Pay]]*0.02</f>
        <v>459.20439711704904</v>
      </c>
      <c r="AP54" s="5">
        <v>650</v>
      </c>
      <c r="AQ54" s="45">
        <v>10538.280653646651</v>
      </c>
      <c r="AR54" s="5">
        <f>Table1[[#This Row],[Nov_Projected_Pay]]*0.08</f>
        <v>843.06245229173203</v>
      </c>
      <c r="AS54" s="5">
        <f>Table1[[#This Row],[Nov_Projected_Pay]]*0.02</f>
        <v>210.76561307293301</v>
      </c>
      <c r="AT54" s="5">
        <v>650</v>
      </c>
      <c r="AU54" s="45">
        <v>7556.6387828284624</v>
      </c>
      <c r="AV54" s="5">
        <f>Table1[[#This Row],[Dec_Projected_Pay]]*0.08</f>
        <v>604.53110262627695</v>
      </c>
      <c r="AW54" s="5">
        <f>Table1[[#This Row],[Dec_Projected_Pay]]*0.02</f>
        <v>151.13277565656924</v>
      </c>
      <c r="AX54" s="5">
        <v>650</v>
      </c>
      <c r="AY54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158615.81392430243</v>
      </c>
      <c r="AZ54" s="59">
        <f>D54+H54+L54+P54+T54+X54+AB54+AF54+AJ54+AN54+AR54+AV54</f>
        <v>12689.265113944195</v>
      </c>
      <c r="BA54" s="59">
        <f>E54+I54+M54+Q54+U54+Y54+AC54+AG54+AK54+AO54+AS54+AW54</f>
        <v>3172.3162784860488</v>
      </c>
      <c r="BB54" s="59">
        <f>F54+J54+N54+R54+V54+Z54+AD54+AH54+AL54+AP54+AT54+AX54</f>
        <v>7800</v>
      </c>
    </row>
    <row r="55" spans="1:54" x14ac:dyDescent="0.3">
      <c r="A55" t="s">
        <v>131</v>
      </c>
      <c r="B55" t="s">
        <v>216</v>
      </c>
      <c r="C55" s="46">
        <v>0</v>
      </c>
      <c r="D55" s="5">
        <f>Table1[[#This Row],[Jan_Projected_Pay]]*0.08</f>
        <v>0</v>
      </c>
      <c r="E55" s="5">
        <f>Table1[[#This Row],[Jan_Projected_Pay]]*0.02</f>
        <v>0</v>
      </c>
      <c r="F55" s="5">
        <v>650</v>
      </c>
      <c r="G55" s="45">
        <v>0</v>
      </c>
      <c r="H55" s="5">
        <f>Table1[[#This Row],[Feb_Projected_Pay]]*0.08</f>
        <v>0</v>
      </c>
      <c r="I55" s="5">
        <f>Table1[[#This Row],[Feb_Projected_Pay]]*0.02</f>
        <v>0</v>
      </c>
      <c r="J55" s="5">
        <v>650</v>
      </c>
      <c r="K55" s="45">
        <v>5000</v>
      </c>
      <c r="L55" s="5">
        <f>Table1[[#This Row],[Mar_Projected_Pay]]*0.08</f>
        <v>400</v>
      </c>
      <c r="M55" s="5">
        <f>Table1[[#This Row],[Mar_Projected_Pay]]*0.02</f>
        <v>100</v>
      </c>
      <c r="N55" s="5">
        <v>650</v>
      </c>
      <c r="O55" s="45">
        <v>7500</v>
      </c>
      <c r="P55" s="5">
        <f>Table1[[#This Row],[Apr_Projected_Pay]]*0.08</f>
        <v>600</v>
      </c>
      <c r="Q55" s="5">
        <f>Table1[[#This Row],[Apr_Projected_Pay]]*0.02</f>
        <v>150</v>
      </c>
      <c r="R55" s="5">
        <v>650</v>
      </c>
      <c r="S55" s="45">
        <v>25000</v>
      </c>
      <c r="T55" s="5">
        <f>Table1[[#This Row],[May_Projected_Pay]]*0.08</f>
        <v>2000</v>
      </c>
      <c r="U55" s="5">
        <f>Table1[[#This Row],[May_Projected_Pay]]*0.02</f>
        <v>500</v>
      </c>
      <c r="V55" s="5">
        <v>650</v>
      </c>
      <c r="W55" s="45">
        <v>18245</v>
      </c>
      <c r="X55" s="5">
        <f>Table1[[#This Row],[Jun_Projected_Pay]]*0.08</f>
        <v>1459.6000000000001</v>
      </c>
      <c r="Y55" s="5">
        <f>Table1[[#This Row],[Jun_Projected_Pay]]*0.02</f>
        <v>364.90000000000003</v>
      </c>
      <c r="Z55" s="5">
        <v>650</v>
      </c>
      <c r="AA55" s="45">
        <v>16521</v>
      </c>
      <c r="AB55" s="5">
        <f>Table1[[#This Row],[Jul_Projected_Pay]]*0.08</f>
        <v>1321.68</v>
      </c>
      <c r="AC55" s="5">
        <f>Table1[[#This Row],[Jul_Projected_Pay]]*0.02</f>
        <v>330.42</v>
      </c>
      <c r="AD55" s="5">
        <v>650</v>
      </c>
      <c r="AE55" s="45">
        <v>19840</v>
      </c>
      <c r="AF55" s="5">
        <f>Table1[[#This Row],[Aug_Projected_Pay]]*0.08</f>
        <v>1587.2</v>
      </c>
      <c r="AG55" s="5">
        <f>Table1[[#This Row],[Aug_Projected_Pay]]*0.02</f>
        <v>396.8</v>
      </c>
      <c r="AH55" s="5">
        <v>650</v>
      </c>
      <c r="AI55" s="45">
        <v>7854</v>
      </c>
      <c r="AJ55" s="5">
        <f>Table1[[#This Row],[Sep_Projected_Pay]]*0.08</f>
        <v>628.32000000000005</v>
      </c>
      <c r="AK55" s="5">
        <f>Table1[[#This Row],[Sep_Projected_Pay]]*0.02</f>
        <v>157.08000000000001</v>
      </c>
      <c r="AL55" s="5">
        <v>650</v>
      </c>
      <c r="AM55" s="45">
        <v>12548</v>
      </c>
      <c r="AN55" s="5">
        <f>Table1[[#This Row],[Oct_Projected_Pay]]*0.08</f>
        <v>1003.84</v>
      </c>
      <c r="AO55" s="5">
        <f>Table1[[#This Row],[Oct_Projected_Pay]]*0.02</f>
        <v>250.96</v>
      </c>
      <c r="AP55" s="5">
        <v>650</v>
      </c>
      <c r="AQ55" s="45">
        <v>15212</v>
      </c>
      <c r="AR55" s="5">
        <f>Table1[[#This Row],[Nov_Projected_Pay]]*0.08</f>
        <v>1216.96</v>
      </c>
      <c r="AS55" s="5">
        <f>Table1[[#This Row],[Nov_Projected_Pay]]*0.02</f>
        <v>304.24</v>
      </c>
      <c r="AT55" s="5">
        <v>650</v>
      </c>
      <c r="AU55" s="45">
        <v>7461.4774121842183</v>
      </c>
      <c r="AV55" s="5">
        <f>Table1[[#This Row],[Dec_Projected_Pay]]*0.08</f>
        <v>596.91819297473751</v>
      </c>
      <c r="AW55" s="5">
        <f>Table1[[#This Row],[Dec_Projected_Pay]]*0.02</f>
        <v>149.22954824368438</v>
      </c>
      <c r="AX55" s="5">
        <v>650</v>
      </c>
      <c r="AY55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135181.47741218423</v>
      </c>
      <c r="AZ55" s="59">
        <f>D55+H55+L55+P55+T55+X55+AB55+AF55+AJ55+AN55+AR55+AV55</f>
        <v>10814.518192974736</v>
      </c>
      <c r="BA55" s="59">
        <f>E55+I55+M55+Q55+U55+Y55+AC55+AG55+AK55+AO55+AS55+AW55</f>
        <v>2703.629548243684</v>
      </c>
      <c r="BB55" s="59">
        <f>F55+J55+N55+R55+V55+Z55+AD55+AH55+AL55+AP55+AT55+AX55</f>
        <v>7800</v>
      </c>
    </row>
    <row r="56" spans="1:54" x14ac:dyDescent="0.3">
      <c r="A56" t="s">
        <v>133</v>
      </c>
      <c r="B56" t="s">
        <v>216</v>
      </c>
      <c r="C56" s="46">
        <v>0</v>
      </c>
      <c r="D56" s="5">
        <f>Table1[[#This Row],[Jan_Projected_Pay]]*0.08</f>
        <v>0</v>
      </c>
      <c r="E56" s="5">
        <f>Table1[[#This Row],[Jan_Projected_Pay]]*0.02</f>
        <v>0</v>
      </c>
      <c r="F56" s="5">
        <v>0</v>
      </c>
      <c r="G56" s="45">
        <v>0</v>
      </c>
      <c r="H56" s="5">
        <f>Table1[[#This Row],[Feb_Projected_Pay]]*0.08</f>
        <v>0</v>
      </c>
      <c r="I56" s="5">
        <f>Table1[[#This Row],[Feb_Projected_Pay]]*0.02</f>
        <v>0</v>
      </c>
      <c r="J56" s="5">
        <v>650</v>
      </c>
      <c r="K56" s="45">
        <v>5000</v>
      </c>
      <c r="L56" s="5">
        <f>Table1[[#This Row],[Mar_Projected_Pay]]*0.08</f>
        <v>400</v>
      </c>
      <c r="M56" s="5">
        <f>Table1[[#This Row],[Mar_Projected_Pay]]*0.02</f>
        <v>100</v>
      </c>
      <c r="N56" s="5">
        <v>650</v>
      </c>
      <c r="O56" s="45">
        <v>7500</v>
      </c>
      <c r="P56" s="5">
        <f>Table1[[#This Row],[Apr_Projected_Pay]]*0.08</f>
        <v>600</v>
      </c>
      <c r="Q56" s="5">
        <f>Table1[[#This Row],[Apr_Projected_Pay]]*0.02</f>
        <v>150</v>
      </c>
      <c r="R56" s="5">
        <v>650</v>
      </c>
      <c r="S56" s="45">
        <v>25000</v>
      </c>
      <c r="T56" s="5">
        <f>Table1[[#This Row],[May_Projected_Pay]]*0.08</f>
        <v>2000</v>
      </c>
      <c r="U56" s="5">
        <f>Table1[[#This Row],[May_Projected_Pay]]*0.02</f>
        <v>500</v>
      </c>
      <c r="V56" s="5">
        <v>650</v>
      </c>
      <c r="W56" s="45">
        <v>16250</v>
      </c>
      <c r="X56" s="5">
        <f>Table1[[#This Row],[Jun_Projected_Pay]]*0.08</f>
        <v>1300</v>
      </c>
      <c r="Y56" s="5">
        <f>Table1[[#This Row],[Jun_Projected_Pay]]*0.02</f>
        <v>325</v>
      </c>
      <c r="Z56" s="5">
        <v>650</v>
      </c>
      <c r="AA56" s="45">
        <v>18120</v>
      </c>
      <c r="AB56" s="5">
        <f>Table1[[#This Row],[Jul_Projected_Pay]]*0.08</f>
        <v>1449.6000000000001</v>
      </c>
      <c r="AC56" s="5">
        <f>Table1[[#This Row],[Jul_Projected_Pay]]*0.02</f>
        <v>362.40000000000003</v>
      </c>
      <c r="AD56" s="5">
        <v>650</v>
      </c>
      <c r="AE56" s="45">
        <v>20169</v>
      </c>
      <c r="AF56" s="5">
        <f>Table1[[#This Row],[Aug_Projected_Pay]]*0.08</f>
        <v>1613.52</v>
      </c>
      <c r="AG56" s="5">
        <f>Table1[[#This Row],[Aug_Projected_Pay]]*0.02</f>
        <v>403.38</v>
      </c>
      <c r="AH56" s="5">
        <v>650</v>
      </c>
      <c r="AI56" s="45">
        <v>8260</v>
      </c>
      <c r="AJ56" s="5">
        <f>Table1[[#This Row],[Sep_Projected_Pay]]*0.08</f>
        <v>660.80000000000007</v>
      </c>
      <c r="AK56" s="5">
        <f>Table1[[#This Row],[Sep_Projected_Pay]]*0.02</f>
        <v>165.20000000000002</v>
      </c>
      <c r="AL56" s="5">
        <v>650</v>
      </c>
      <c r="AM56" s="45">
        <v>16320</v>
      </c>
      <c r="AN56" s="5">
        <f>Table1[[#This Row],[Oct_Projected_Pay]]*0.08</f>
        <v>1305.6000000000001</v>
      </c>
      <c r="AO56" s="5">
        <f>Table1[[#This Row],[Oct_Projected_Pay]]*0.02</f>
        <v>326.40000000000003</v>
      </c>
      <c r="AP56" s="5">
        <v>650</v>
      </c>
      <c r="AQ56" s="45">
        <v>14210</v>
      </c>
      <c r="AR56" s="5">
        <f>Table1[[#This Row],[Nov_Projected_Pay]]*0.08</f>
        <v>1136.8</v>
      </c>
      <c r="AS56" s="5">
        <f>Table1[[#This Row],[Nov_Projected_Pay]]*0.02</f>
        <v>284.2</v>
      </c>
      <c r="AT56" s="5">
        <v>650</v>
      </c>
      <c r="AU56" s="45">
        <v>12778.976475297721</v>
      </c>
      <c r="AV56" s="5">
        <f>Table1[[#This Row],[Dec_Projected_Pay]]*0.08</f>
        <v>1022.3181180238176</v>
      </c>
      <c r="AW56" s="5">
        <f>Table1[[#This Row],[Dec_Projected_Pay]]*0.02</f>
        <v>255.57952950595441</v>
      </c>
      <c r="AX56" s="5">
        <v>650</v>
      </c>
      <c r="AY56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143607.97647529771</v>
      </c>
      <c r="AZ56" s="59">
        <f>D56+H56+L56+P56+T56+X56+AB56+AF56+AJ56+AN56+AR56+AV56</f>
        <v>11488.638118023817</v>
      </c>
      <c r="BA56" s="59">
        <f>E56+I56+M56+Q56+U56+Y56+AC56+AG56+AK56+AO56+AS56+AW56</f>
        <v>2872.1595295059542</v>
      </c>
      <c r="BB56" s="59">
        <f>F56+J56+N56+R56+V56+Z56+AD56+AH56+AL56+AP56+AT56+AX56</f>
        <v>7150</v>
      </c>
    </row>
    <row r="57" spans="1:54" x14ac:dyDescent="0.3">
      <c r="A57" t="s">
        <v>134</v>
      </c>
      <c r="B57" t="s">
        <v>216</v>
      </c>
      <c r="C57" s="46">
        <v>0</v>
      </c>
      <c r="D57" s="5">
        <f>Table1[[#This Row],[Jan_Projected_Pay]]*0.08</f>
        <v>0</v>
      </c>
      <c r="E57" s="5">
        <f>Table1[[#This Row],[Jan_Projected_Pay]]*0.02</f>
        <v>0</v>
      </c>
      <c r="F57" s="5">
        <v>0</v>
      </c>
      <c r="G57" s="45">
        <v>0</v>
      </c>
      <c r="H57" s="5">
        <f>Table1[[#This Row],[Feb_Projected_Pay]]*0.08</f>
        <v>0</v>
      </c>
      <c r="I57" s="5">
        <f>Table1[[#This Row],[Feb_Projected_Pay]]*0.02</f>
        <v>0</v>
      </c>
      <c r="J57" s="5">
        <v>650</v>
      </c>
      <c r="K57" s="45">
        <v>5000</v>
      </c>
      <c r="L57" s="5">
        <f>Table1[[#This Row],[Mar_Projected_Pay]]*0.08</f>
        <v>400</v>
      </c>
      <c r="M57" s="5">
        <f>Table1[[#This Row],[Mar_Projected_Pay]]*0.02</f>
        <v>100</v>
      </c>
      <c r="N57" s="5">
        <v>650</v>
      </c>
      <c r="O57" s="45">
        <v>7500</v>
      </c>
      <c r="P57" s="5">
        <f>Table1[[#This Row],[Apr_Projected_Pay]]*0.08</f>
        <v>600</v>
      </c>
      <c r="Q57" s="5">
        <f>Table1[[#This Row],[Apr_Projected_Pay]]*0.02</f>
        <v>150</v>
      </c>
      <c r="R57" s="5">
        <v>650</v>
      </c>
      <c r="S57" s="45">
        <v>25000</v>
      </c>
      <c r="T57" s="5">
        <f>Table1[[#This Row],[May_Projected_Pay]]*0.08</f>
        <v>2000</v>
      </c>
      <c r="U57" s="5">
        <f>Table1[[#This Row],[May_Projected_Pay]]*0.02</f>
        <v>500</v>
      </c>
      <c r="V57" s="5">
        <v>650</v>
      </c>
      <c r="W57" s="45">
        <v>25000</v>
      </c>
      <c r="X57" s="5">
        <f>Table1[[#This Row],[Jun_Projected_Pay]]*0.08</f>
        <v>2000</v>
      </c>
      <c r="Y57" s="5">
        <f>Table1[[#This Row],[Jun_Projected_Pay]]*0.02</f>
        <v>500</v>
      </c>
      <c r="Z57" s="5">
        <v>650</v>
      </c>
      <c r="AA57" s="45">
        <v>21632</v>
      </c>
      <c r="AB57" s="5">
        <f>Table1[[#This Row],[Jul_Projected_Pay]]*0.08</f>
        <v>1730.56</v>
      </c>
      <c r="AC57" s="5">
        <f>Table1[[#This Row],[Jul_Projected_Pay]]*0.02</f>
        <v>432.64</v>
      </c>
      <c r="AD57" s="5">
        <v>650</v>
      </c>
      <c r="AE57" s="45">
        <v>14652</v>
      </c>
      <c r="AF57" s="5">
        <f>Table1[[#This Row],[Aug_Projected_Pay]]*0.08</f>
        <v>1172.1600000000001</v>
      </c>
      <c r="AG57" s="5">
        <f>Table1[[#This Row],[Aug_Projected_Pay]]*0.02</f>
        <v>293.04000000000002</v>
      </c>
      <c r="AH57" s="5">
        <v>650</v>
      </c>
      <c r="AI57" s="45">
        <v>4520</v>
      </c>
      <c r="AJ57" s="5">
        <f>Table1[[#This Row],[Sep_Projected_Pay]]*0.08</f>
        <v>361.6</v>
      </c>
      <c r="AK57" s="5">
        <f>Table1[[#This Row],[Sep_Projected_Pay]]*0.02</f>
        <v>90.4</v>
      </c>
      <c r="AL57" s="5">
        <v>650</v>
      </c>
      <c r="AM57" s="45">
        <v>15213</v>
      </c>
      <c r="AN57" s="5">
        <f>Table1[[#This Row],[Oct_Projected_Pay]]*0.08</f>
        <v>1217.04</v>
      </c>
      <c r="AO57" s="5">
        <f>Table1[[#This Row],[Oct_Projected_Pay]]*0.02</f>
        <v>304.26</v>
      </c>
      <c r="AP57" s="5">
        <v>650</v>
      </c>
      <c r="AQ57" s="45">
        <v>16210</v>
      </c>
      <c r="AR57" s="5">
        <f>Table1[[#This Row],[Nov_Projected_Pay]]*0.08</f>
        <v>1296.8</v>
      </c>
      <c r="AS57" s="5">
        <f>Table1[[#This Row],[Nov_Projected_Pay]]*0.02</f>
        <v>324.2</v>
      </c>
      <c r="AT57" s="5">
        <v>650</v>
      </c>
      <c r="AU57" s="45">
        <v>10915.01173737994</v>
      </c>
      <c r="AV57" s="5">
        <f>Table1[[#This Row],[Dec_Projected_Pay]]*0.08</f>
        <v>873.20093899039523</v>
      </c>
      <c r="AW57" s="5">
        <f>Table1[[#This Row],[Dec_Projected_Pay]]*0.02</f>
        <v>218.30023474759881</v>
      </c>
      <c r="AX57" s="5">
        <v>650</v>
      </c>
      <c r="AY57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145642.01173737994</v>
      </c>
      <c r="AZ57" s="59">
        <f>D57+H57+L57+P57+T57+X57+AB57+AF57+AJ57+AN57+AR57+AV57</f>
        <v>11651.360938990396</v>
      </c>
      <c r="BA57" s="59">
        <f>E57+I57+M57+Q57+U57+Y57+AC57+AG57+AK57+AO57+AS57+AW57</f>
        <v>2912.840234747599</v>
      </c>
      <c r="BB57" s="59">
        <f>F57+J57+N57+R57+V57+Z57+AD57+AH57+AL57+AP57+AT57+AX57</f>
        <v>7150</v>
      </c>
    </row>
    <row r="58" spans="1:54" x14ac:dyDescent="0.3">
      <c r="A58" t="s">
        <v>136</v>
      </c>
      <c r="B58" t="s">
        <v>216</v>
      </c>
      <c r="C58" s="46">
        <v>0</v>
      </c>
      <c r="D58" s="5">
        <f>Table1[[#This Row],[Jan_Projected_Pay]]*0.08</f>
        <v>0</v>
      </c>
      <c r="E58" s="5">
        <f>Table1[[#This Row],[Jan_Projected_Pay]]*0.02</f>
        <v>0</v>
      </c>
      <c r="F58" s="5">
        <v>0</v>
      </c>
      <c r="G58" s="45">
        <v>0</v>
      </c>
      <c r="H58" s="5">
        <f>Table1[[#This Row],[Feb_Projected_Pay]]*0.08</f>
        <v>0</v>
      </c>
      <c r="I58" s="5">
        <f>Table1[[#This Row],[Feb_Projected_Pay]]*0.02</f>
        <v>0</v>
      </c>
      <c r="J58" s="5">
        <v>650</v>
      </c>
      <c r="K58" s="45">
        <v>5000</v>
      </c>
      <c r="L58" s="5">
        <f>Table1[[#This Row],[Mar_Projected_Pay]]*0.08</f>
        <v>400</v>
      </c>
      <c r="M58" s="5">
        <f>Table1[[#This Row],[Mar_Projected_Pay]]*0.02</f>
        <v>100</v>
      </c>
      <c r="N58" s="5">
        <v>650</v>
      </c>
      <c r="O58" s="45">
        <v>7500</v>
      </c>
      <c r="P58" s="5">
        <f>Table1[[#This Row],[Apr_Projected_Pay]]*0.08</f>
        <v>600</v>
      </c>
      <c r="Q58" s="5">
        <f>Table1[[#This Row],[Apr_Projected_Pay]]*0.02</f>
        <v>150</v>
      </c>
      <c r="R58" s="5">
        <v>650</v>
      </c>
      <c r="S58" s="45">
        <v>25000</v>
      </c>
      <c r="T58" s="5">
        <f>Table1[[#This Row],[May_Projected_Pay]]*0.08</f>
        <v>2000</v>
      </c>
      <c r="U58" s="5">
        <f>Table1[[#This Row],[May_Projected_Pay]]*0.02</f>
        <v>500</v>
      </c>
      <c r="V58" s="5">
        <v>650</v>
      </c>
      <c r="W58" s="45">
        <v>22304.889068519271</v>
      </c>
      <c r="X58" s="5">
        <f>Table1[[#This Row],[Jun_Projected_Pay]]*0.08</f>
        <v>1784.3911254815416</v>
      </c>
      <c r="Y58" s="5">
        <f>Table1[[#This Row],[Jun_Projected_Pay]]*0.02</f>
        <v>446.09778137038541</v>
      </c>
      <c r="Z58" s="5">
        <v>650</v>
      </c>
      <c r="AA58" s="45">
        <v>64840.549789695287</v>
      </c>
      <c r="AB58" s="5">
        <f>Table1[[#This Row],[Jul_Projected_Pay]]*0.08</f>
        <v>5187.2439831756228</v>
      </c>
      <c r="AC58" s="5">
        <f>Table1[[#This Row],[Jul_Projected_Pay]]*0.02</f>
        <v>1296.8109957939057</v>
      </c>
      <c r="AD58" s="5">
        <v>650</v>
      </c>
      <c r="AE58" s="45">
        <v>38296.912766221823</v>
      </c>
      <c r="AF58" s="5">
        <f>Table1[[#This Row],[Aug_Projected_Pay]]*0.08</f>
        <v>3063.7530212977458</v>
      </c>
      <c r="AG58" s="5">
        <f>Table1[[#This Row],[Aug_Projected_Pay]]*0.02</f>
        <v>765.93825532443645</v>
      </c>
      <c r="AH58" s="5">
        <v>650</v>
      </c>
      <c r="AI58" s="45">
        <v>39051.20290764072</v>
      </c>
      <c r="AJ58" s="5">
        <f>Table1[[#This Row],[Sep_Projected_Pay]]*0.08</f>
        <v>3124.0962326112576</v>
      </c>
      <c r="AK58" s="5">
        <f>Table1[[#This Row],[Sep_Projected_Pay]]*0.02</f>
        <v>781.0240581528144</v>
      </c>
      <c r="AL58" s="5">
        <v>650</v>
      </c>
      <c r="AM58" s="45">
        <v>13210.149025071931</v>
      </c>
      <c r="AN58" s="5">
        <f>Table1[[#This Row],[Oct_Projected_Pay]]*0.08</f>
        <v>1056.8119220057545</v>
      </c>
      <c r="AO58" s="5">
        <f>Table1[[#This Row],[Oct_Projected_Pay]]*0.02</f>
        <v>264.20298050143862</v>
      </c>
      <c r="AP58" s="5">
        <v>650</v>
      </c>
      <c r="AQ58" s="45">
        <v>12082.01273240302</v>
      </c>
      <c r="AR58" s="5">
        <f>Table1[[#This Row],[Nov_Projected_Pay]]*0.08</f>
        <v>966.56101859224157</v>
      </c>
      <c r="AS58" s="5">
        <f>Table1[[#This Row],[Nov_Projected_Pay]]*0.02</f>
        <v>241.64025464806039</v>
      </c>
      <c r="AT58" s="5">
        <v>650</v>
      </c>
      <c r="AU58" s="45">
        <v>12541.35575890695</v>
      </c>
      <c r="AV58" s="5">
        <f>Table1[[#This Row],[Dec_Projected_Pay]]*0.08</f>
        <v>1003.308460712556</v>
      </c>
      <c r="AW58" s="5">
        <f>Table1[[#This Row],[Dec_Projected_Pay]]*0.02</f>
        <v>250.827115178139</v>
      </c>
      <c r="AX58" s="5">
        <v>650</v>
      </c>
      <c r="AY58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239827.072048459</v>
      </c>
      <c r="AZ58" s="59">
        <f>D58+H58+L58+P58+T58+X58+AB58+AF58+AJ58+AN58+AR58+AV58</f>
        <v>19186.165763876721</v>
      </c>
      <c r="BA58" s="59">
        <f>E58+I58+M58+Q58+U58+Y58+AC58+AG58+AK58+AO58+AS58+AW58</f>
        <v>4796.5414409691803</v>
      </c>
      <c r="BB58" s="59">
        <f>F58+J58+N58+R58+V58+Z58+AD58+AH58+AL58+AP58+AT58+AX58</f>
        <v>7150</v>
      </c>
    </row>
    <row r="59" spans="1:54" x14ac:dyDescent="0.3">
      <c r="A59" t="s">
        <v>137</v>
      </c>
      <c r="B59" t="s">
        <v>216</v>
      </c>
      <c r="C59" s="46">
        <v>0</v>
      </c>
      <c r="D59" s="5">
        <f>Table1[[#This Row],[Jan_Projected_Pay]]*0.08</f>
        <v>0</v>
      </c>
      <c r="E59" s="5">
        <f>Table1[[#This Row],[Jan_Projected_Pay]]*0.02</f>
        <v>0</v>
      </c>
      <c r="F59" s="5">
        <v>0</v>
      </c>
      <c r="G59" s="45">
        <v>0</v>
      </c>
      <c r="H59" s="5">
        <f>Table1[[#This Row],[Feb_Projected_Pay]]*0.08</f>
        <v>0</v>
      </c>
      <c r="I59" s="5">
        <f>Table1[[#This Row],[Feb_Projected_Pay]]*0.02</f>
        <v>0</v>
      </c>
      <c r="J59" s="5">
        <v>650</v>
      </c>
      <c r="K59" s="45">
        <v>5000</v>
      </c>
      <c r="L59" s="5">
        <f>Table1[[#This Row],[Mar_Projected_Pay]]*0.08</f>
        <v>400</v>
      </c>
      <c r="M59" s="5">
        <f>Table1[[#This Row],[Mar_Projected_Pay]]*0.02</f>
        <v>100</v>
      </c>
      <c r="N59" s="5">
        <v>650</v>
      </c>
      <c r="O59" s="45">
        <v>7500</v>
      </c>
      <c r="P59" s="5">
        <f>Table1[[#This Row],[Apr_Projected_Pay]]*0.08</f>
        <v>600</v>
      </c>
      <c r="Q59" s="5">
        <f>Table1[[#This Row],[Apr_Projected_Pay]]*0.02</f>
        <v>150</v>
      </c>
      <c r="R59" s="5">
        <v>650</v>
      </c>
      <c r="S59" s="45">
        <v>25000</v>
      </c>
      <c r="T59" s="5">
        <f>Table1[[#This Row],[May_Projected_Pay]]*0.08</f>
        <v>2000</v>
      </c>
      <c r="U59" s="5">
        <f>Table1[[#This Row],[May_Projected_Pay]]*0.02</f>
        <v>500</v>
      </c>
      <c r="V59" s="5">
        <v>650</v>
      </c>
      <c r="W59" s="45">
        <v>15625</v>
      </c>
      <c r="X59" s="5">
        <f>Table1[[#This Row],[Jun_Projected_Pay]]*0.08</f>
        <v>1250</v>
      </c>
      <c r="Y59" s="5">
        <f>Table1[[#This Row],[Jun_Projected_Pay]]*0.02</f>
        <v>312.5</v>
      </c>
      <c r="Z59" s="5">
        <v>650</v>
      </c>
      <c r="AA59" s="45">
        <v>14632</v>
      </c>
      <c r="AB59" s="5">
        <f>Table1[[#This Row],[Jul_Projected_Pay]]*0.08</f>
        <v>1170.56</v>
      </c>
      <c r="AC59" s="5">
        <f>Table1[[#This Row],[Jul_Projected_Pay]]*0.02</f>
        <v>292.64</v>
      </c>
      <c r="AD59" s="5">
        <v>650</v>
      </c>
      <c r="AE59" s="45">
        <v>10965</v>
      </c>
      <c r="AF59" s="5">
        <f>Table1[[#This Row],[Aug_Projected_Pay]]*0.08</f>
        <v>877.2</v>
      </c>
      <c r="AG59" s="5">
        <f>Table1[[#This Row],[Aug_Projected_Pay]]*0.02</f>
        <v>219.3</v>
      </c>
      <c r="AH59" s="5">
        <v>650</v>
      </c>
      <c r="AI59" s="45">
        <v>12654</v>
      </c>
      <c r="AJ59" s="5">
        <f>Table1[[#This Row],[Sep_Projected_Pay]]*0.08</f>
        <v>1012.32</v>
      </c>
      <c r="AK59" s="5">
        <f>Table1[[#This Row],[Sep_Projected_Pay]]*0.02</f>
        <v>253.08</v>
      </c>
      <c r="AL59" s="5">
        <v>650</v>
      </c>
      <c r="AM59" s="45">
        <v>12396</v>
      </c>
      <c r="AN59" s="5">
        <f>Table1[[#This Row],[Oct_Projected_Pay]]*0.08</f>
        <v>991.68000000000006</v>
      </c>
      <c r="AO59" s="5">
        <f>Table1[[#This Row],[Oct_Projected_Pay]]*0.02</f>
        <v>247.92000000000002</v>
      </c>
      <c r="AP59" s="5">
        <v>650</v>
      </c>
      <c r="AQ59" s="45">
        <v>8024</v>
      </c>
      <c r="AR59" s="5">
        <f>Table1[[#This Row],[Nov_Projected_Pay]]*0.08</f>
        <v>641.91999999999996</v>
      </c>
      <c r="AS59" s="5">
        <f>Table1[[#This Row],[Nov_Projected_Pay]]*0.02</f>
        <v>160.47999999999999</v>
      </c>
      <c r="AT59" s="5">
        <v>650</v>
      </c>
      <c r="AU59" s="45">
        <v>10548.50630461465</v>
      </c>
      <c r="AV59" s="5">
        <f>Table1[[#This Row],[Dec_Projected_Pay]]*0.08</f>
        <v>843.88050436917194</v>
      </c>
      <c r="AW59" s="5">
        <f>Table1[[#This Row],[Dec_Projected_Pay]]*0.02</f>
        <v>210.97012609229299</v>
      </c>
      <c r="AX59" s="5">
        <v>650</v>
      </c>
      <c r="AY59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122344.50630461465</v>
      </c>
      <c r="AZ59" s="59">
        <f>D59+H59+L59+P59+T59+X59+AB59+AF59+AJ59+AN59+AR59+AV59</f>
        <v>9787.5605043691703</v>
      </c>
      <c r="BA59" s="59">
        <f>E59+I59+M59+Q59+U59+Y59+AC59+AG59+AK59+AO59+AS59+AW59</f>
        <v>2446.8901260922926</v>
      </c>
      <c r="BB59" s="59">
        <f>F59+J59+N59+R59+V59+Z59+AD59+AH59+AL59+AP59+AT59+AX59</f>
        <v>7150</v>
      </c>
    </row>
    <row r="60" spans="1:54" x14ac:dyDescent="0.3">
      <c r="A60" t="s">
        <v>138</v>
      </c>
      <c r="B60" t="s">
        <v>216</v>
      </c>
      <c r="C60" s="46">
        <v>0</v>
      </c>
      <c r="D60" s="5">
        <f>Table1[[#This Row],[Jan_Projected_Pay]]*0.08</f>
        <v>0</v>
      </c>
      <c r="E60" s="5">
        <f>Table1[[#This Row],[Jan_Projected_Pay]]*0.02</f>
        <v>0</v>
      </c>
      <c r="F60" s="5">
        <v>0</v>
      </c>
      <c r="G60" s="45">
        <v>0</v>
      </c>
      <c r="H60" s="5">
        <f>Table1[[#This Row],[Feb_Projected_Pay]]*0.08</f>
        <v>0</v>
      </c>
      <c r="I60" s="5">
        <f>Table1[[#This Row],[Feb_Projected_Pay]]*0.02</f>
        <v>0</v>
      </c>
      <c r="J60" s="5">
        <v>650</v>
      </c>
      <c r="K60" s="45">
        <v>5000</v>
      </c>
      <c r="L60" s="5">
        <f>Table1[[#This Row],[Mar_Projected_Pay]]*0.08</f>
        <v>400</v>
      </c>
      <c r="M60" s="5">
        <f>Table1[[#This Row],[Mar_Projected_Pay]]*0.02</f>
        <v>100</v>
      </c>
      <c r="N60" s="5">
        <v>650</v>
      </c>
      <c r="O60" s="45">
        <v>7500</v>
      </c>
      <c r="P60" s="5">
        <f>Table1[[#This Row],[Apr_Projected_Pay]]*0.08</f>
        <v>600</v>
      </c>
      <c r="Q60" s="5">
        <f>Table1[[#This Row],[Apr_Projected_Pay]]*0.02</f>
        <v>150</v>
      </c>
      <c r="R60" s="5">
        <v>650</v>
      </c>
      <c r="S60" s="45">
        <v>25000</v>
      </c>
      <c r="T60" s="5">
        <f>Table1[[#This Row],[May_Projected_Pay]]*0.08</f>
        <v>2000</v>
      </c>
      <c r="U60" s="5">
        <f>Table1[[#This Row],[May_Projected_Pay]]*0.02</f>
        <v>500</v>
      </c>
      <c r="V60" s="5">
        <v>650</v>
      </c>
      <c r="W60" s="45">
        <v>19254</v>
      </c>
      <c r="X60" s="5">
        <f>Table1[[#This Row],[Jun_Projected_Pay]]*0.08</f>
        <v>1540.32</v>
      </c>
      <c r="Y60" s="5">
        <f>Table1[[#This Row],[Jun_Projected_Pay]]*0.02</f>
        <v>385.08</v>
      </c>
      <c r="Z60" s="5">
        <v>650</v>
      </c>
      <c r="AA60" s="45">
        <v>0</v>
      </c>
      <c r="AB60" s="5">
        <f>Table1[[#This Row],[Jul_Projected_Pay]]*0.08</f>
        <v>0</v>
      </c>
      <c r="AC60" s="5">
        <f>Table1[[#This Row],[Jul_Projected_Pay]]*0.02</f>
        <v>0</v>
      </c>
      <c r="AD60" s="5">
        <v>650</v>
      </c>
      <c r="AE60" s="45">
        <v>10254</v>
      </c>
      <c r="AF60" s="5">
        <f>Table1[[#This Row],[Aug_Projected_Pay]]*0.08</f>
        <v>820.32</v>
      </c>
      <c r="AG60" s="5">
        <f>Table1[[#This Row],[Aug_Projected_Pay]]*0.02</f>
        <v>205.08</v>
      </c>
      <c r="AH60" s="5">
        <v>650</v>
      </c>
      <c r="AI60" s="45">
        <v>8025</v>
      </c>
      <c r="AJ60" s="5">
        <f>Table1[[#This Row],[Sep_Projected_Pay]]*0.08</f>
        <v>642</v>
      </c>
      <c r="AK60" s="5">
        <f>Table1[[#This Row],[Sep_Projected_Pay]]*0.02</f>
        <v>160.5</v>
      </c>
      <c r="AL60" s="5">
        <v>650</v>
      </c>
      <c r="AM60" s="45">
        <v>15032</v>
      </c>
      <c r="AN60" s="5">
        <f>Table1[[#This Row],[Oct_Projected_Pay]]*0.08</f>
        <v>1202.56</v>
      </c>
      <c r="AO60" s="5">
        <f>Table1[[#This Row],[Oct_Projected_Pay]]*0.02</f>
        <v>300.64</v>
      </c>
      <c r="AP60" s="5">
        <v>650</v>
      </c>
      <c r="AQ60" s="45">
        <v>21160.664649331291</v>
      </c>
      <c r="AR60" s="5">
        <f>Table1[[#This Row],[Nov_Projected_Pay]]*0.08</f>
        <v>1692.8531719465034</v>
      </c>
      <c r="AS60" s="5">
        <f>Table1[[#This Row],[Nov_Projected_Pay]]*0.02</f>
        <v>423.21329298662585</v>
      </c>
      <c r="AT60" s="5">
        <v>650</v>
      </c>
      <c r="AU60" s="45">
        <v>9772.7534300547431</v>
      </c>
      <c r="AV60" s="5">
        <f>Table1[[#This Row],[Dec_Projected_Pay]]*0.08</f>
        <v>781.82027440437946</v>
      </c>
      <c r="AW60" s="5">
        <f>Table1[[#This Row],[Dec_Projected_Pay]]*0.02</f>
        <v>195.45506860109487</v>
      </c>
      <c r="AX60" s="5">
        <v>650</v>
      </c>
      <c r="AY60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120998.41807938603</v>
      </c>
      <c r="AZ60" s="59">
        <f>D60+H60+L60+P60+T60+X60+AB60+AF60+AJ60+AN60+AR60+AV60</f>
        <v>9679.8734463508808</v>
      </c>
      <c r="BA60" s="59">
        <f>E60+I60+M60+Q60+U60+Y60+AC60+AG60+AK60+AO60+AS60+AW60</f>
        <v>2419.9683615877202</v>
      </c>
      <c r="BB60" s="59">
        <f>F60+J60+N60+R60+V60+Z60+AD60+AH60+AL60+AP60+AT60+AX60</f>
        <v>7150</v>
      </c>
    </row>
    <row r="61" spans="1:54" x14ac:dyDescent="0.3">
      <c r="A61" t="s">
        <v>140</v>
      </c>
      <c r="B61" t="s">
        <v>216</v>
      </c>
      <c r="C61" s="46">
        <v>0</v>
      </c>
      <c r="D61" s="5">
        <f>Table1[[#This Row],[Jan_Projected_Pay]]*0.08</f>
        <v>0</v>
      </c>
      <c r="E61" s="5">
        <f>Table1[[#This Row],[Jan_Projected_Pay]]*0.02</f>
        <v>0</v>
      </c>
      <c r="F61" s="5">
        <v>0</v>
      </c>
      <c r="G61" s="45">
        <v>0</v>
      </c>
      <c r="H61" s="5">
        <f>Table1[[#This Row],[Feb_Projected_Pay]]*0.08</f>
        <v>0</v>
      </c>
      <c r="I61" s="5">
        <f>Table1[[#This Row],[Feb_Projected_Pay]]*0.02</f>
        <v>0</v>
      </c>
      <c r="J61" s="5">
        <v>650</v>
      </c>
      <c r="K61" s="45">
        <v>5000</v>
      </c>
      <c r="L61" s="5">
        <f>Table1[[#This Row],[Mar_Projected_Pay]]*0.08</f>
        <v>400</v>
      </c>
      <c r="M61" s="5">
        <f>Table1[[#This Row],[Mar_Projected_Pay]]*0.02</f>
        <v>100</v>
      </c>
      <c r="N61" s="5">
        <v>650</v>
      </c>
      <c r="O61" s="45">
        <v>7500</v>
      </c>
      <c r="P61" s="5">
        <f>Table1[[#This Row],[Apr_Projected_Pay]]*0.08</f>
        <v>600</v>
      </c>
      <c r="Q61" s="5">
        <f>Table1[[#This Row],[Apr_Projected_Pay]]*0.02</f>
        <v>150</v>
      </c>
      <c r="R61" s="5">
        <v>650</v>
      </c>
      <c r="S61" s="45">
        <v>25000</v>
      </c>
      <c r="T61" s="5">
        <f>Table1[[#This Row],[May_Projected_Pay]]*0.08</f>
        <v>2000</v>
      </c>
      <c r="U61" s="5">
        <f>Table1[[#This Row],[May_Projected_Pay]]*0.02</f>
        <v>500</v>
      </c>
      <c r="V61" s="5">
        <v>650</v>
      </c>
      <c r="W61" s="45">
        <v>9005</v>
      </c>
      <c r="X61" s="5">
        <f>Table1[[#This Row],[Jun_Projected_Pay]]*0.08</f>
        <v>720.4</v>
      </c>
      <c r="Y61" s="5">
        <f>Table1[[#This Row],[Jun_Projected_Pay]]*0.02</f>
        <v>180.1</v>
      </c>
      <c r="Z61" s="5">
        <v>650</v>
      </c>
      <c r="AA61" s="45">
        <v>15321</v>
      </c>
      <c r="AB61" s="5">
        <f>Table1[[#This Row],[Jul_Projected_Pay]]*0.08</f>
        <v>1225.68</v>
      </c>
      <c r="AC61" s="5">
        <f>Table1[[#This Row],[Jul_Projected_Pay]]*0.02</f>
        <v>306.42</v>
      </c>
      <c r="AD61" s="5">
        <v>650</v>
      </c>
      <c r="AE61" s="45">
        <v>10326</v>
      </c>
      <c r="AF61" s="5">
        <f>Table1[[#This Row],[Aug_Projected_Pay]]*0.08</f>
        <v>826.08</v>
      </c>
      <c r="AG61" s="5">
        <f>Table1[[#This Row],[Aug_Projected_Pay]]*0.02</f>
        <v>206.52</v>
      </c>
      <c r="AH61" s="5">
        <v>650</v>
      </c>
      <c r="AI61" s="45">
        <v>15241</v>
      </c>
      <c r="AJ61" s="5">
        <f>Table1[[#This Row],[Sep_Projected_Pay]]*0.08</f>
        <v>1219.28</v>
      </c>
      <c r="AK61" s="5">
        <f>Table1[[#This Row],[Sep_Projected_Pay]]*0.02</f>
        <v>304.82</v>
      </c>
      <c r="AL61" s="5">
        <v>650</v>
      </c>
      <c r="AM61" s="45">
        <v>22791.091194128279</v>
      </c>
      <c r="AN61" s="5">
        <f>Table1[[#This Row],[Oct_Projected_Pay]]*0.08</f>
        <v>1823.2872955302623</v>
      </c>
      <c r="AO61" s="5">
        <f>Table1[[#This Row],[Oct_Projected_Pay]]*0.02</f>
        <v>455.82182388256558</v>
      </c>
      <c r="AP61" s="5">
        <v>650</v>
      </c>
      <c r="AQ61" s="45">
        <v>13737.294388843289</v>
      </c>
      <c r="AR61" s="5">
        <f>Table1[[#This Row],[Nov_Projected_Pay]]*0.08</f>
        <v>1098.9835511074632</v>
      </c>
      <c r="AS61" s="5">
        <f>Table1[[#This Row],[Nov_Projected_Pay]]*0.02</f>
        <v>274.7458877768658</v>
      </c>
      <c r="AT61" s="5">
        <v>650</v>
      </c>
      <c r="AU61" s="45">
        <v>12155.090870918921</v>
      </c>
      <c r="AV61" s="5">
        <f>Table1[[#This Row],[Dec_Projected_Pay]]*0.08</f>
        <v>972.40726967351372</v>
      </c>
      <c r="AW61" s="5">
        <f>Table1[[#This Row],[Dec_Projected_Pay]]*0.02</f>
        <v>243.10181741837843</v>
      </c>
      <c r="AX61" s="5">
        <v>650</v>
      </c>
      <c r="AY61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136076.4764538905</v>
      </c>
      <c r="AZ61" s="59">
        <f>D61+H61+L61+P61+T61+X61+AB61+AF61+AJ61+AN61+AR61+AV61</f>
        <v>10886.118116311238</v>
      </c>
      <c r="BA61" s="59">
        <f>E61+I61+M61+Q61+U61+Y61+AC61+AG61+AK61+AO61+AS61+AW61</f>
        <v>2721.5295290778095</v>
      </c>
      <c r="BB61" s="59">
        <f>F61+J61+N61+R61+V61+Z61+AD61+AH61+AL61+AP61+AT61+AX61</f>
        <v>7150</v>
      </c>
    </row>
    <row r="62" spans="1:54" x14ac:dyDescent="0.3">
      <c r="A62" t="s">
        <v>141</v>
      </c>
      <c r="B62" t="s">
        <v>216</v>
      </c>
      <c r="C62" s="46">
        <v>0</v>
      </c>
      <c r="D62" s="5">
        <f>Table1[[#This Row],[Jan_Projected_Pay]]*0.08</f>
        <v>0</v>
      </c>
      <c r="E62" s="5">
        <f>Table1[[#This Row],[Jan_Projected_Pay]]*0.02</f>
        <v>0</v>
      </c>
      <c r="F62" s="5">
        <v>0</v>
      </c>
      <c r="G62" s="45">
        <v>0</v>
      </c>
      <c r="H62" s="5">
        <f>Table1[[#This Row],[Feb_Projected_Pay]]*0.08</f>
        <v>0</v>
      </c>
      <c r="I62" s="5">
        <f>Table1[[#This Row],[Feb_Projected_Pay]]*0.02</f>
        <v>0</v>
      </c>
      <c r="J62" s="5">
        <v>0</v>
      </c>
      <c r="K62" s="45">
        <v>5000</v>
      </c>
      <c r="L62" s="5">
        <f>Table1[[#This Row],[Mar_Projected_Pay]]*0.08</f>
        <v>400</v>
      </c>
      <c r="M62" s="5">
        <f>Table1[[#This Row],[Mar_Projected_Pay]]*0.02</f>
        <v>100</v>
      </c>
      <c r="N62" s="5">
        <v>650</v>
      </c>
      <c r="O62" s="45">
        <v>7500</v>
      </c>
      <c r="P62" s="5">
        <f>Table1[[#This Row],[Apr_Projected_Pay]]*0.08</f>
        <v>600</v>
      </c>
      <c r="Q62" s="5">
        <f>Table1[[#This Row],[Apr_Projected_Pay]]*0.02</f>
        <v>150</v>
      </c>
      <c r="R62" s="5">
        <v>650</v>
      </c>
      <c r="S62" s="45">
        <v>25000</v>
      </c>
      <c r="T62" s="5">
        <f>Table1[[#This Row],[May_Projected_Pay]]*0.08</f>
        <v>2000</v>
      </c>
      <c r="U62" s="5">
        <f>Table1[[#This Row],[May_Projected_Pay]]*0.02</f>
        <v>500</v>
      </c>
      <c r="V62" s="5">
        <v>650</v>
      </c>
      <c r="W62" s="45">
        <v>22386.459283137079</v>
      </c>
      <c r="X62" s="5">
        <f>Table1[[#This Row],[Jun_Projected_Pay]]*0.08</f>
        <v>1790.9167426509664</v>
      </c>
      <c r="Y62" s="5">
        <f>Table1[[#This Row],[Jun_Projected_Pay]]*0.02</f>
        <v>447.7291856627416</v>
      </c>
      <c r="Z62" s="5">
        <v>650</v>
      </c>
      <c r="AA62" s="45">
        <v>15426</v>
      </c>
      <c r="AB62" s="5">
        <f>Table1[[#This Row],[Jul_Projected_Pay]]*0.08</f>
        <v>1234.08</v>
      </c>
      <c r="AC62" s="5">
        <f>Table1[[#This Row],[Jul_Projected_Pay]]*0.02</f>
        <v>308.52</v>
      </c>
      <c r="AD62" s="5">
        <v>650</v>
      </c>
      <c r="AE62" s="45">
        <v>20354</v>
      </c>
      <c r="AF62" s="5">
        <f>Table1[[#This Row],[Aug_Projected_Pay]]*0.08</f>
        <v>1628.32</v>
      </c>
      <c r="AG62" s="5">
        <f>Table1[[#This Row],[Aug_Projected_Pay]]*0.02</f>
        <v>407.08</v>
      </c>
      <c r="AH62" s="5">
        <v>650</v>
      </c>
      <c r="AI62" s="45">
        <v>21065</v>
      </c>
      <c r="AJ62" s="5">
        <f>Table1[[#This Row],[Sep_Projected_Pay]]*0.08</f>
        <v>1685.2</v>
      </c>
      <c r="AK62" s="5">
        <f>Table1[[#This Row],[Sep_Projected_Pay]]*0.02</f>
        <v>421.3</v>
      </c>
      <c r="AL62" s="5">
        <v>650</v>
      </c>
      <c r="AM62" s="45">
        <v>18258</v>
      </c>
      <c r="AN62" s="5">
        <f>Table1[[#This Row],[Oct_Projected_Pay]]*0.08</f>
        <v>1460.64</v>
      </c>
      <c r="AO62" s="5">
        <f>Table1[[#This Row],[Oct_Projected_Pay]]*0.02</f>
        <v>365.16</v>
      </c>
      <c r="AP62" s="5">
        <v>650</v>
      </c>
      <c r="AQ62" s="45">
        <v>15252</v>
      </c>
      <c r="AR62" s="5">
        <f>Table1[[#This Row],[Nov_Projected_Pay]]*0.08</f>
        <v>1220.1600000000001</v>
      </c>
      <c r="AS62" s="5">
        <f>Table1[[#This Row],[Nov_Projected_Pay]]*0.02</f>
        <v>305.04000000000002</v>
      </c>
      <c r="AT62" s="5">
        <v>650</v>
      </c>
      <c r="AU62" s="45">
        <v>9021</v>
      </c>
      <c r="AV62" s="5">
        <f>Table1[[#This Row],[Dec_Projected_Pay]]*0.08</f>
        <v>721.68000000000006</v>
      </c>
      <c r="AW62" s="5">
        <f>Table1[[#This Row],[Dec_Projected_Pay]]*0.02</f>
        <v>180.42000000000002</v>
      </c>
      <c r="AX62" s="5">
        <v>650</v>
      </c>
      <c r="AY62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159262.45928313708</v>
      </c>
      <c r="AZ62" s="59">
        <f>D62+H62+L62+P62+T62+X62+AB62+AF62+AJ62+AN62+AR62+AV62</f>
        <v>12740.996742650967</v>
      </c>
      <c r="BA62" s="59">
        <f>E62+I62+M62+Q62+U62+Y62+AC62+AG62+AK62+AO62+AS62+AW62</f>
        <v>3185.2491856627416</v>
      </c>
      <c r="BB62" s="59">
        <f>F62+J62+N62+R62+V62+Z62+AD62+AH62+AL62+AP62+AT62+AX62</f>
        <v>6500</v>
      </c>
    </row>
    <row r="63" spans="1:54" x14ac:dyDescent="0.3">
      <c r="A63" t="s">
        <v>143</v>
      </c>
      <c r="B63" t="s">
        <v>216</v>
      </c>
      <c r="C63" s="46">
        <v>0</v>
      </c>
      <c r="D63" s="5">
        <f>Table1[[#This Row],[Jan_Projected_Pay]]*0.08</f>
        <v>0</v>
      </c>
      <c r="E63" s="5">
        <f>Table1[[#This Row],[Jan_Projected_Pay]]*0.02</f>
        <v>0</v>
      </c>
      <c r="F63" s="5">
        <v>0</v>
      </c>
      <c r="G63" s="45">
        <v>0</v>
      </c>
      <c r="H63" s="5">
        <f>Table1[[#This Row],[Feb_Projected_Pay]]*0.08</f>
        <v>0</v>
      </c>
      <c r="I63" s="5">
        <f>Table1[[#This Row],[Feb_Projected_Pay]]*0.02</f>
        <v>0</v>
      </c>
      <c r="J63" s="5">
        <v>0</v>
      </c>
      <c r="K63" s="45">
        <v>5000</v>
      </c>
      <c r="L63" s="5">
        <f>Table1[[#This Row],[Mar_Projected_Pay]]*0.08</f>
        <v>400</v>
      </c>
      <c r="M63" s="5">
        <f>Table1[[#This Row],[Mar_Projected_Pay]]*0.02</f>
        <v>100</v>
      </c>
      <c r="N63" s="5">
        <v>650</v>
      </c>
      <c r="O63" s="45">
        <v>7500</v>
      </c>
      <c r="P63" s="5">
        <f>Table1[[#This Row],[Apr_Projected_Pay]]*0.08</f>
        <v>600</v>
      </c>
      <c r="Q63" s="5">
        <f>Table1[[#This Row],[Apr_Projected_Pay]]*0.02</f>
        <v>150</v>
      </c>
      <c r="R63" s="5">
        <v>650</v>
      </c>
      <c r="S63" s="45">
        <v>25000</v>
      </c>
      <c r="T63" s="5">
        <f>Table1[[#This Row],[May_Projected_Pay]]*0.08</f>
        <v>2000</v>
      </c>
      <c r="U63" s="5">
        <f>Table1[[#This Row],[May_Projected_Pay]]*0.02</f>
        <v>500</v>
      </c>
      <c r="V63" s="5">
        <v>650</v>
      </c>
      <c r="W63" s="45">
        <v>14235</v>
      </c>
      <c r="X63" s="5">
        <f>Table1[[#This Row],[Jun_Projected_Pay]]*0.08</f>
        <v>1138.8</v>
      </c>
      <c r="Y63" s="5">
        <f>Table1[[#This Row],[Jun_Projected_Pay]]*0.02</f>
        <v>284.7</v>
      </c>
      <c r="Z63" s="5">
        <v>650</v>
      </c>
      <c r="AA63" s="45">
        <v>0</v>
      </c>
      <c r="AB63" s="5">
        <f>Table1[[#This Row],[Jul_Projected_Pay]]*0.08</f>
        <v>0</v>
      </c>
      <c r="AC63" s="5">
        <f>Table1[[#This Row],[Jul_Projected_Pay]]*0.02</f>
        <v>0</v>
      </c>
      <c r="AD63" s="5">
        <v>650</v>
      </c>
      <c r="AE63" s="45">
        <v>0</v>
      </c>
      <c r="AF63" s="5">
        <f>Table1[[#This Row],[Aug_Projected_Pay]]*0.08</f>
        <v>0</v>
      </c>
      <c r="AG63" s="5">
        <f>Table1[[#This Row],[Aug_Projected_Pay]]*0.02</f>
        <v>0</v>
      </c>
      <c r="AH63" s="5">
        <v>650</v>
      </c>
      <c r="AI63" s="45">
        <v>28656.809072552449</v>
      </c>
      <c r="AJ63" s="5">
        <f>Table1[[#This Row],[Sep_Projected_Pay]]*0.08</f>
        <v>2292.5447258041959</v>
      </c>
      <c r="AK63" s="5">
        <f>Table1[[#This Row],[Sep_Projected_Pay]]*0.02</f>
        <v>573.13618145104897</v>
      </c>
      <c r="AL63" s="5">
        <v>650</v>
      </c>
      <c r="AM63" s="45">
        <v>21355.098773720449</v>
      </c>
      <c r="AN63" s="5">
        <f>Table1[[#This Row],[Oct_Projected_Pay]]*0.08</f>
        <v>1708.4079018976358</v>
      </c>
      <c r="AO63" s="5">
        <f>Table1[[#This Row],[Oct_Projected_Pay]]*0.02</f>
        <v>427.10197547440896</v>
      </c>
      <c r="AP63" s="5">
        <v>650</v>
      </c>
      <c r="AQ63" s="45">
        <v>13215.75436274296</v>
      </c>
      <c r="AR63" s="5">
        <f>Table1[[#This Row],[Nov_Projected_Pay]]*0.08</f>
        <v>1057.2603490194369</v>
      </c>
      <c r="AS63" s="5">
        <f>Table1[[#This Row],[Nov_Projected_Pay]]*0.02</f>
        <v>264.31508725485924</v>
      </c>
      <c r="AT63" s="5">
        <v>650</v>
      </c>
      <c r="AU63" s="45">
        <v>15192.79588281796</v>
      </c>
      <c r="AV63" s="5">
        <f>Table1[[#This Row],[Dec_Projected_Pay]]*0.08</f>
        <v>1215.4236706254369</v>
      </c>
      <c r="AW63" s="5">
        <f>Table1[[#This Row],[Dec_Projected_Pay]]*0.02</f>
        <v>303.85591765635922</v>
      </c>
      <c r="AX63" s="5">
        <v>650</v>
      </c>
      <c r="AY63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130155.45809183382</v>
      </c>
      <c r="AZ63" s="59">
        <f>D63+H63+L63+P63+T63+X63+AB63+AF63+AJ63+AN63+AR63+AV63</f>
        <v>10412.436647346705</v>
      </c>
      <c r="BA63" s="59">
        <f>E63+I63+M63+Q63+U63+Y63+AC63+AG63+AK63+AO63+AS63+AW63</f>
        <v>2603.1091618366763</v>
      </c>
      <c r="BB63" s="59">
        <f>F63+J63+N63+R63+V63+Z63+AD63+AH63+AL63+AP63+AT63+AX63</f>
        <v>6500</v>
      </c>
    </row>
    <row r="64" spans="1:54" x14ac:dyDescent="0.3">
      <c r="A64" t="s">
        <v>144</v>
      </c>
      <c r="B64" t="s">
        <v>216</v>
      </c>
      <c r="C64" s="46">
        <v>0</v>
      </c>
      <c r="D64" s="5">
        <f>Table1[[#This Row],[Jan_Projected_Pay]]*0.08</f>
        <v>0</v>
      </c>
      <c r="E64" s="5">
        <f>Table1[[#This Row],[Jan_Projected_Pay]]*0.02</f>
        <v>0</v>
      </c>
      <c r="F64" s="5">
        <v>0</v>
      </c>
      <c r="G64" s="45">
        <v>0</v>
      </c>
      <c r="H64" s="5">
        <f>Table1[[#This Row],[Feb_Projected_Pay]]*0.08</f>
        <v>0</v>
      </c>
      <c r="I64" s="5">
        <f>Table1[[#This Row],[Feb_Projected_Pay]]*0.02</f>
        <v>0</v>
      </c>
      <c r="J64" s="5">
        <v>0</v>
      </c>
      <c r="K64" s="45">
        <v>5000</v>
      </c>
      <c r="L64" s="5">
        <f>Table1[[#This Row],[Mar_Projected_Pay]]*0.08</f>
        <v>400</v>
      </c>
      <c r="M64" s="5">
        <f>Table1[[#This Row],[Mar_Projected_Pay]]*0.02</f>
        <v>100</v>
      </c>
      <c r="N64" s="5">
        <v>650</v>
      </c>
      <c r="O64" s="45">
        <v>7500</v>
      </c>
      <c r="P64" s="5">
        <f>Table1[[#This Row],[Apr_Projected_Pay]]*0.08</f>
        <v>600</v>
      </c>
      <c r="Q64" s="5">
        <f>Table1[[#This Row],[Apr_Projected_Pay]]*0.02</f>
        <v>150</v>
      </c>
      <c r="R64" s="5">
        <v>650</v>
      </c>
      <c r="S64" s="45">
        <v>25000</v>
      </c>
      <c r="T64" s="5">
        <f>Table1[[#This Row],[May_Projected_Pay]]*0.08</f>
        <v>2000</v>
      </c>
      <c r="U64" s="5">
        <f>Table1[[#This Row],[May_Projected_Pay]]*0.02</f>
        <v>500</v>
      </c>
      <c r="V64" s="5">
        <v>650</v>
      </c>
      <c r="W64" s="45">
        <v>13214</v>
      </c>
      <c r="X64" s="5">
        <f>Table1[[#This Row],[Jun_Projected_Pay]]*0.08</f>
        <v>1057.1200000000001</v>
      </c>
      <c r="Y64" s="5">
        <f>Table1[[#This Row],[Jun_Projected_Pay]]*0.02</f>
        <v>264.28000000000003</v>
      </c>
      <c r="Z64" s="5">
        <v>650</v>
      </c>
      <c r="AA64" s="45">
        <v>0</v>
      </c>
      <c r="AB64" s="5">
        <f>Table1[[#This Row],[Jul_Projected_Pay]]*0.08</f>
        <v>0</v>
      </c>
      <c r="AC64" s="5">
        <f>Table1[[#This Row],[Jul_Projected_Pay]]*0.02</f>
        <v>0</v>
      </c>
      <c r="AD64" s="5">
        <v>650</v>
      </c>
      <c r="AE64" s="45">
        <v>0</v>
      </c>
      <c r="AF64" s="5">
        <f>Table1[[#This Row],[Aug_Projected_Pay]]*0.08</f>
        <v>0</v>
      </c>
      <c r="AG64" s="5">
        <f>Table1[[#This Row],[Aug_Projected_Pay]]*0.02</f>
        <v>0</v>
      </c>
      <c r="AH64" s="5">
        <v>650</v>
      </c>
      <c r="AI64" s="45">
        <v>38683.832224328369</v>
      </c>
      <c r="AJ64" s="5">
        <f>Table1[[#This Row],[Sep_Projected_Pay]]*0.08</f>
        <v>3094.7065779462696</v>
      </c>
      <c r="AK64" s="5">
        <f>Table1[[#This Row],[Sep_Projected_Pay]]*0.02</f>
        <v>773.6766444865674</v>
      </c>
      <c r="AL64" s="5">
        <v>650</v>
      </c>
      <c r="AM64" s="45">
        <v>19872.111326702539</v>
      </c>
      <c r="AN64" s="5">
        <f>Table1[[#This Row],[Oct_Projected_Pay]]*0.08</f>
        <v>1589.7689061362032</v>
      </c>
      <c r="AO64" s="5">
        <f>Table1[[#This Row],[Oct_Projected_Pay]]*0.02</f>
        <v>397.4422265340508</v>
      </c>
      <c r="AP64" s="5">
        <v>650</v>
      </c>
      <c r="AQ64" s="45">
        <v>13540.706982912039</v>
      </c>
      <c r="AR64" s="5">
        <f>Table1[[#This Row],[Nov_Projected_Pay]]*0.08</f>
        <v>1083.2565586329631</v>
      </c>
      <c r="AS64" s="5">
        <f>Table1[[#This Row],[Nov_Projected_Pay]]*0.02</f>
        <v>270.81413965824078</v>
      </c>
      <c r="AT64" s="5">
        <v>650</v>
      </c>
      <c r="AU64" s="45">
        <v>9180.9086671910045</v>
      </c>
      <c r="AV64" s="5">
        <f>Table1[[#This Row],[Dec_Projected_Pay]]*0.08</f>
        <v>734.47269337528041</v>
      </c>
      <c r="AW64" s="5">
        <f>Table1[[#This Row],[Dec_Projected_Pay]]*0.02</f>
        <v>183.6181733438201</v>
      </c>
      <c r="AX64" s="5">
        <v>650</v>
      </c>
      <c r="AY64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131991.55920113396</v>
      </c>
      <c r="AZ64" s="59">
        <f>D64+H64+L64+P64+T64+X64+AB64+AF64+AJ64+AN64+AR64+AV64</f>
        <v>10559.324736090717</v>
      </c>
      <c r="BA64" s="59">
        <f>E64+I64+M64+Q64+U64+Y64+AC64+AG64+AK64+AO64+AS64+AW64</f>
        <v>2639.8311840226793</v>
      </c>
      <c r="BB64" s="59">
        <f>F64+J64+N64+R64+V64+Z64+AD64+AH64+AL64+AP64+AT64+AX64</f>
        <v>6500</v>
      </c>
    </row>
    <row r="65" spans="1:54" x14ac:dyDescent="0.3">
      <c r="A65" t="s">
        <v>145</v>
      </c>
      <c r="B65" t="s">
        <v>216</v>
      </c>
      <c r="C65" s="46">
        <v>0</v>
      </c>
      <c r="D65" s="5">
        <f>Table1[[#This Row],[Jan_Projected_Pay]]*0.08</f>
        <v>0</v>
      </c>
      <c r="E65" s="5">
        <f>Table1[[#This Row],[Jan_Projected_Pay]]*0.02</f>
        <v>0</v>
      </c>
      <c r="F65" s="5">
        <v>0</v>
      </c>
      <c r="G65" s="45">
        <v>0</v>
      </c>
      <c r="H65" s="5">
        <f>Table1[[#This Row],[Feb_Projected_Pay]]*0.08</f>
        <v>0</v>
      </c>
      <c r="I65" s="5">
        <f>Table1[[#This Row],[Feb_Projected_Pay]]*0.02</f>
        <v>0</v>
      </c>
      <c r="J65" s="5">
        <v>0</v>
      </c>
      <c r="K65" s="45">
        <v>5000</v>
      </c>
      <c r="L65" s="5">
        <f>Table1[[#This Row],[Mar_Projected_Pay]]*0.08</f>
        <v>400</v>
      </c>
      <c r="M65" s="5">
        <f>Table1[[#This Row],[Mar_Projected_Pay]]*0.02</f>
        <v>100</v>
      </c>
      <c r="N65" s="5">
        <v>650</v>
      </c>
      <c r="O65" s="45">
        <v>7500</v>
      </c>
      <c r="P65" s="5">
        <f>Table1[[#This Row],[Apr_Projected_Pay]]*0.08</f>
        <v>600</v>
      </c>
      <c r="Q65" s="5">
        <f>Table1[[#This Row],[Apr_Projected_Pay]]*0.02</f>
        <v>150</v>
      </c>
      <c r="R65" s="5">
        <v>650</v>
      </c>
      <c r="S65" s="45">
        <v>25000</v>
      </c>
      <c r="T65" s="5">
        <f>Table1[[#This Row],[May_Projected_Pay]]*0.08</f>
        <v>2000</v>
      </c>
      <c r="U65" s="5">
        <f>Table1[[#This Row],[May_Projected_Pay]]*0.02</f>
        <v>500</v>
      </c>
      <c r="V65" s="5">
        <v>650</v>
      </c>
      <c r="W65" s="45">
        <v>16874</v>
      </c>
      <c r="X65" s="5">
        <f>Table1[[#This Row],[Jun_Projected_Pay]]*0.08</f>
        <v>1349.92</v>
      </c>
      <c r="Y65" s="5">
        <f>Table1[[#This Row],[Jun_Projected_Pay]]*0.02</f>
        <v>337.48</v>
      </c>
      <c r="Z65" s="5">
        <v>650</v>
      </c>
      <c r="AA65" s="45">
        <v>33102.6362869246</v>
      </c>
      <c r="AB65" s="5">
        <f>Table1[[#This Row],[Jul_Projected_Pay]]*0.08</f>
        <v>2648.2109029539679</v>
      </c>
      <c r="AC65" s="5">
        <f>Table1[[#This Row],[Jul_Projected_Pay]]*0.02</f>
        <v>662.05272573849197</v>
      </c>
      <c r="AD65" s="5">
        <v>650</v>
      </c>
      <c r="AE65" s="45">
        <v>26412.231712934641</v>
      </c>
      <c r="AF65" s="5">
        <f>Table1[[#This Row],[Aug_Projected_Pay]]*0.08</f>
        <v>2112.9785370347713</v>
      </c>
      <c r="AG65" s="5">
        <f>Table1[[#This Row],[Aug_Projected_Pay]]*0.02</f>
        <v>528.24463425869283</v>
      </c>
      <c r="AH65" s="5">
        <v>650</v>
      </c>
      <c r="AI65" s="45">
        <v>39378.364650889263</v>
      </c>
      <c r="AJ65" s="5">
        <f>Table1[[#This Row],[Sep_Projected_Pay]]*0.08</f>
        <v>3150.2691720711409</v>
      </c>
      <c r="AK65" s="5">
        <f>Table1[[#This Row],[Sep_Projected_Pay]]*0.02</f>
        <v>787.56729301778523</v>
      </c>
      <c r="AL65" s="5">
        <v>650</v>
      </c>
      <c r="AM65" s="45">
        <v>13418.376139324741</v>
      </c>
      <c r="AN65" s="5">
        <f>Table1[[#This Row],[Oct_Projected_Pay]]*0.08</f>
        <v>1073.4700911459793</v>
      </c>
      <c r="AO65" s="5">
        <f>Table1[[#This Row],[Oct_Projected_Pay]]*0.02</f>
        <v>268.36752278649482</v>
      </c>
      <c r="AP65" s="5">
        <v>650</v>
      </c>
      <c r="AQ65" s="45">
        <v>17514.561119993559</v>
      </c>
      <c r="AR65" s="5">
        <f>Table1[[#This Row],[Nov_Projected_Pay]]*0.08</f>
        <v>1401.1648895994847</v>
      </c>
      <c r="AS65" s="5">
        <f>Table1[[#This Row],[Nov_Projected_Pay]]*0.02</f>
        <v>350.29122239987117</v>
      </c>
      <c r="AT65" s="5">
        <v>650</v>
      </c>
      <c r="AU65" s="45">
        <v>13846.736323303319</v>
      </c>
      <c r="AV65" s="5">
        <f>Table1[[#This Row],[Dec_Projected_Pay]]*0.08</f>
        <v>1107.7389058642655</v>
      </c>
      <c r="AW65" s="5">
        <f>Table1[[#This Row],[Dec_Projected_Pay]]*0.02</f>
        <v>276.93472646606637</v>
      </c>
      <c r="AX65" s="5">
        <v>650</v>
      </c>
      <c r="AY65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198046.90623337013</v>
      </c>
      <c r="AZ65" s="59">
        <f>D65+H65+L65+P65+T65+X65+AB65+AF65+AJ65+AN65+AR65+AV65</f>
        <v>15843.752498669608</v>
      </c>
      <c r="BA65" s="59">
        <f>E65+I65+M65+Q65+U65+Y65+AC65+AG65+AK65+AO65+AS65+AW65</f>
        <v>3960.938124667402</v>
      </c>
      <c r="BB65" s="59">
        <f>F65+J65+N65+R65+V65+Z65+AD65+AH65+AL65+AP65+AT65+AX65</f>
        <v>6500</v>
      </c>
    </row>
    <row r="66" spans="1:54" x14ac:dyDescent="0.3">
      <c r="A66" t="s">
        <v>146</v>
      </c>
      <c r="B66" t="s">
        <v>216</v>
      </c>
      <c r="C66" s="46">
        <v>0</v>
      </c>
      <c r="D66" s="5">
        <f>Table1[[#This Row],[Jan_Projected_Pay]]*0.08</f>
        <v>0</v>
      </c>
      <c r="E66" s="5">
        <f>Table1[[#This Row],[Jan_Projected_Pay]]*0.02</f>
        <v>0</v>
      </c>
      <c r="F66" s="5">
        <v>0</v>
      </c>
      <c r="G66" s="45">
        <v>0</v>
      </c>
      <c r="H66" s="5">
        <f>Table1[[#This Row],[Feb_Projected_Pay]]*0.08</f>
        <v>0</v>
      </c>
      <c r="I66" s="5">
        <f>Table1[[#This Row],[Feb_Projected_Pay]]*0.02</f>
        <v>0</v>
      </c>
      <c r="J66" s="5">
        <v>0</v>
      </c>
      <c r="K66" s="45">
        <v>5000</v>
      </c>
      <c r="L66" s="5">
        <f>Table1[[#This Row],[Mar_Projected_Pay]]*0.08</f>
        <v>400</v>
      </c>
      <c r="M66" s="5">
        <f>Table1[[#This Row],[Mar_Projected_Pay]]*0.02</f>
        <v>100</v>
      </c>
      <c r="N66" s="5">
        <v>650</v>
      </c>
      <c r="O66" s="45">
        <v>7500</v>
      </c>
      <c r="P66" s="5">
        <f>Table1[[#This Row],[Apr_Projected_Pay]]*0.08</f>
        <v>600</v>
      </c>
      <c r="Q66" s="5">
        <f>Table1[[#This Row],[Apr_Projected_Pay]]*0.02</f>
        <v>150</v>
      </c>
      <c r="R66" s="5">
        <v>650</v>
      </c>
      <c r="S66" s="45">
        <v>25000</v>
      </c>
      <c r="T66" s="5">
        <f>Table1[[#This Row],[May_Projected_Pay]]*0.08</f>
        <v>2000</v>
      </c>
      <c r="U66" s="5">
        <f>Table1[[#This Row],[May_Projected_Pay]]*0.02</f>
        <v>500</v>
      </c>
      <c r="V66" s="5">
        <v>650</v>
      </c>
      <c r="W66" s="45">
        <v>16325</v>
      </c>
      <c r="X66" s="5">
        <f>Table1[[#This Row],[Jun_Projected_Pay]]*0.08</f>
        <v>1306</v>
      </c>
      <c r="Y66" s="5">
        <f>Table1[[#This Row],[Jun_Projected_Pay]]*0.02</f>
        <v>326.5</v>
      </c>
      <c r="Z66" s="5">
        <v>650</v>
      </c>
      <c r="AA66" s="45">
        <v>42151.781656174673</v>
      </c>
      <c r="AB66" s="5">
        <f>Table1[[#This Row],[Jul_Projected_Pay]]*0.08</f>
        <v>3372.1425324939737</v>
      </c>
      <c r="AC66" s="5">
        <f>Table1[[#This Row],[Jul_Projected_Pay]]*0.02</f>
        <v>843.03563312349343</v>
      </c>
      <c r="AD66" s="5">
        <v>650</v>
      </c>
      <c r="AE66" s="45">
        <v>37057.15938449934</v>
      </c>
      <c r="AF66" s="5">
        <f>Table1[[#This Row],[Aug_Projected_Pay]]*0.08</f>
        <v>2964.5727507599472</v>
      </c>
      <c r="AG66" s="5">
        <f>Table1[[#This Row],[Aug_Projected_Pay]]*0.02</f>
        <v>741.1431876899868</v>
      </c>
      <c r="AH66" s="5">
        <v>650</v>
      </c>
      <c r="AI66" s="45">
        <v>34208.157773151601</v>
      </c>
      <c r="AJ66" s="5">
        <f>Table1[[#This Row],[Sep_Projected_Pay]]*0.08</f>
        <v>2736.652621852128</v>
      </c>
      <c r="AK66" s="5">
        <f>Table1[[#This Row],[Sep_Projected_Pay]]*0.02</f>
        <v>684.16315546303201</v>
      </c>
      <c r="AL66" s="5">
        <v>650</v>
      </c>
      <c r="AM66" s="45">
        <v>23906.710121854041</v>
      </c>
      <c r="AN66" s="5">
        <f>Table1[[#This Row],[Oct_Projected_Pay]]*0.08</f>
        <v>1912.5368097483233</v>
      </c>
      <c r="AO66" s="5">
        <f>Table1[[#This Row],[Oct_Projected_Pay]]*0.02</f>
        <v>478.13420243708083</v>
      </c>
      <c r="AP66" s="5">
        <v>650</v>
      </c>
      <c r="AQ66" s="45">
        <v>20195.652164007621</v>
      </c>
      <c r="AR66" s="5">
        <f>Table1[[#This Row],[Nov_Projected_Pay]]*0.08</f>
        <v>1615.6521731206096</v>
      </c>
      <c r="AS66" s="5">
        <f>Table1[[#This Row],[Nov_Projected_Pay]]*0.02</f>
        <v>403.91304328015241</v>
      </c>
      <c r="AT66" s="5">
        <v>650</v>
      </c>
      <c r="AU66" s="45">
        <v>8346.0245934266568</v>
      </c>
      <c r="AV66" s="5">
        <f>Table1[[#This Row],[Dec_Projected_Pay]]*0.08</f>
        <v>667.68196747413253</v>
      </c>
      <c r="AW66" s="5">
        <f>Table1[[#This Row],[Dec_Projected_Pay]]*0.02</f>
        <v>166.92049186853313</v>
      </c>
      <c r="AX66" s="5">
        <v>650</v>
      </c>
      <c r="AY66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219690.48569311394</v>
      </c>
      <c r="AZ66" s="59">
        <f>D66+H66+L66+P66+T66+X66+AB66+AF66+AJ66+AN66+AR66+AV66</f>
        <v>17575.238855449112</v>
      </c>
      <c r="BA66" s="59">
        <f>E66+I66+M66+Q66+U66+Y66+AC66+AG66+AK66+AO66+AS66+AW66</f>
        <v>4393.8097138622779</v>
      </c>
      <c r="BB66" s="59">
        <f>F66+J66+N66+R66+V66+Z66+AD66+AH66+AL66+AP66+AT66+AX66</f>
        <v>6500</v>
      </c>
    </row>
    <row r="67" spans="1:54" x14ac:dyDescent="0.3">
      <c r="A67" t="s">
        <v>147</v>
      </c>
      <c r="B67" t="s">
        <v>216</v>
      </c>
      <c r="C67" s="46">
        <v>0</v>
      </c>
      <c r="D67" s="5">
        <f>Table1[[#This Row],[Jan_Projected_Pay]]*0.08</f>
        <v>0</v>
      </c>
      <c r="E67" s="5">
        <f>Table1[[#This Row],[Jan_Projected_Pay]]*0.02</f>
        <v>0</v>
      </c>
      <c r="F67" s="5">
        <v>0</v>
      </c>
      <c r="G67" s="45">
        <v>0</v>
      </c>
      <c r="H67" s="5">
        <f>Table1[[#This Row],[Feb_Projected_Pay]]*0.08</f>
        <v>0</v>
      </c>
      <c r="I67" s="5">
        <f>Table1[[#This Row],[Feb_Projected_Pay]]*0.02</f>
        <v>0</v>
      </c>
      <c r="J67" s="5">
        <v>0</v>
      </c>
      <c r="K67" s="45">
        <v>5000</v>
      </c>
      <c r="L67" s="5">
        <f>Table1[[#This Row],[Mar_Projected_Pay]]*0.08</f>
        <v>400</v>
      </c>
      <c r="M67" s="5">
        <f>Table1[[#This Row],[Mar_Projected_Pay]]*0.02</f>
        <v>100</v>
      </c>
      <c r="N67" s="5">
        <v>650</v>
      </c>
      <c r="O67" s="45">
        <v>7500</v>
      </c>
      <c r="P67" s="5">
        <f>Table1[[#This Row],[Apr_Projected_Pay]]*0.08</f>
        <v>600</v>
      </c>
      <c r="Q67" s="5">
        <f>Table1[[#This Row],[Apr_Projected_Pay]]*0.02</f>
        <v>150</v>
      </c>
      <c r="R67" s="5">
        <v>650</v>
      </c>
      <c r="S67" s="45">
        <v>25000</v>
      </c>
      <c r="T67" s="5">
        <f>Table1[[#This Row],[May_Projected_Pay]]*0.08</f>
        <v>2000</v>
      </c>
      <c r="U67" s="5">
        <f>Table1[[#This Row],[May_Projected_Pay]]*0.02</f>
        <v>500</v>
      </c>
      <c r="V67" s="5">
        <v>650</v>
      </c>
      <c r="W67" s="45">
        <v>20126</v>
      </c>
      <c r="X67" s="5">
        <f>Table1[[#This Row],[Jun_Projected_Pay]]*0.08</f>
        <v>1610.08</v>
      </c>
      <c r="Y67" s="5">
        <f>Table1[[#This Row],[Jun_Projected_Pay]]*0.02</f>
        <v>402.52</v>
      </c>
      <c r="Z67" s="5">
        <v>650</v>
      </c>
      <c r="AA67" s="45">
        <v>0</v>
      </c>
      <c r="AB67" s="5">
        <f>Table1[[#This Row],[Jul_Projected_Pay]]*0.08</f>
        <v>0</v>
      </c>
      <c r="AC67" s="5">
        <f>Table1[[#This Row],[Jul_Projected_Pay]]*0.02</f>
        <v>0</v>
      </c>
      <c r="AD67" s="5">
        <v>650</v>
      </c>
      <c r="AE67" s="45">
        <v>0</v>
      </c>
      <c r="AF67" s="5">
        <f>Table1[[#This Row],[Aug_Projected_Pay]]*0.08</f>
        <v>0</v>
      </c>
      <c r="AG67" s="5">
        <f>Table1[[#This Row],[Aug_Projected_Pay]]*0.02</f>
        <v>0</v>
      </c>
      <c r="AH67" s="5">
        <v>650</v>
      </c>
      <c r="AI67" s="45">
        <v>28571.844014561171</v>
      </c>
      <c r="AJ67" s="5">
        <f>Table1[[#This Row],[Sep_Projected_Pay]]*0.08</f>
        <v>2285.7475211648939</v>
      </c>
      <c r="AK67" s="5">
        <f>Table1[[#This Row],[Sep_Projected_Pay]]*0.02</f>
        <v>571.43688029122347</v>
      </c>
      <c r="AL67" s="5">
        <v>650</v>
      </c>
      <c r="AM67" s="45">
        <v>23575.173840930649</v>
      </c>
      <c r="AN67" s="5">
        <f>Table1[[#This Row],[Oct_Projected_Pay]]*0.08</f>
        <v>1886.0139072744519</v>
      </c>
      <c r="AO67" s="5">
        <f>Table1[[#This Row],[Oct_Projected_Pay]]*0.02</f>
        <v>471.50347681861297</v>
      </c>
      <c r="AP67" s="5">
        <v>650</v>
      </c>
      <c r="AQ67" s="45">
        <v>16739.498135245049</v>
      </c>
      <c r="AR67" s="5">
        <f>Table1[[#This Row],[Nov_Projected_Pay]]*0.08</f>
        <v>1339.1598508196039</v>
      </c>
      <c r="AS67" s="5">
        <f>Table1[[#This Row],[Nov_Projected_Pay]]*0.02</f>
        <v>334.78996270490097</v>
      </c>
      <c r="AT67" s="5">
        <v>650</v>
      </c>
      <c r="AU67" s="45">
        <v>9717.8868930463359</v>
      </c>
      <c r="AV67" s="5">
        <f>Table1[[#This Row],[Dec_Projected_Pay]]*0.08</f>
        <v>777.43095144370693</v>
      </c>
      <c r="AW67" s="5">
        <f>Table1[[#This Row],[Dec_Projected_Pay]]*0.02</f>
        <v>194.35773786092673</v>
      </c>
      <c r="AX67" s="5">
        <v>650</v>
      </c>
      <c r="AY67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136230.40288378322</v>
      </c>
      <c r="AZ67" s="59">
        <f>D67+H67+L67+P67+T67+X67+AB67+AF67+AJ67+AN67+AR67+AV67</f>
        <v>10898.432230702656</v>
      </c>
      <c r="BA67" s="59">
        <f>E67+I67+M67+Q67+U67+Y67+AC67+AG67+AK67+AO67+AS67+AW67</f>
        <v>2724.608057675664</v>
      </c>
      <c r="BB67" s="59">
        <f>F67+J67+N67+R67+V67+Z67+AD67+AH67+AL67+AP67+AT67+AX67</f>
        <v>6500</v>
      </c>
    </row>
    <row r="68" spans="1:54" x14ac:dyDescent="0.3">
      <c r="A68" t="s">
        <v>148</v>
      </c>
      <c r="B68" t="s">
        <v>216</v>
      </c>
      <c r="C68" s="46">
        <v>0</v>
      </c>
      <c r="D68" s="5">
        <f>Table1[[#This Row],[Jan_Projected_Pay]]*0.08</f>
        <v>0</v>
      </c>
      <c r="E68" s="5">
        <f>Table1[[#This Row],[Jan_Projected_Pay]]*0.02</f>
        <v>0</v>
      </c>
      <c r="F68" s="5">
        <v>0</v>
      </c>
      <c r="G68" s="45">
        <v>0</v>
      </c>
      <c r="H68" s="5">
        <f>Table1[[#This Row],[Feb_Projected_Pay]]*0.08</f>
        <v>0</v>
      </c>
      <c r="I68" s="5">
        <f>Table1[[#This Row],[Feb_Projected_Pay]]*0.02</f>
        <v>0</v>
      </c>
      <c r="J68" s="5">
        <v>0</v>
      </c>
      <c r="K68" s="45">
        <v>0</v>
      </c>
      <c r="L68" s="5">
        <f>Table1[[#This Row],[Mar_Projected_Pay]]*0.08</f>
        <v>0</v>
      </c>
      <c r="M68" s="5">
        <f>Table1[[#This Row],[Mar_Projected_Pay]]*0.02</f>
        <v>0</v>
      </c>
      <c r="N68" s="5">
        <v>0</v>
      </c>
      <c r="O68" s="45">
        <v>5000</v>
      </c>
      <c r="P68" s="5">
        <f>Table1[[#This Row],[Apr_Projected_Pay]]*0.08</f>
        <v>400</v>
      </c>
      <c r="Q68" s="5">
        <f>Table1[[#This Row],[Apr_Projected_Pay]]*0.02</f>
        <v>100</v>
      </c>
      <c r="R68" s="5">
        <v>650</v>
      </c>
      <c r="S68" s="45">
        <v>7500</v>
      </c>
      <c r="T68" s="5">
        <f>Table1[[#This Row],[May_Projected_Pay]]*0.08</f>
        <v>600</v>
      </c>
      <c r="U68" s="5">
        <f>Table1[[#This Row],[May_Projected_Pay]]*0.02</f>
        <v>150</v>
      </c>
      <c r="V68" s="5">
        <v>650</v>
      </c>
      <c r="W68" s="45">
        <v>25000</v>
      </c>
      <c r="X68" s="5">
        <f>Table1[[#This Row],[Jun_Projected_Pay]]*0.08</f>
        <v>2000</v>
      </c>
      <c r="Y68" s="5">
        <f>Table1[[#This Row],[Jun_Projected_Pay]]*0.02</f>
        <v>500</v>
      </c>
      <c r="Z68" s="5">
        <v>650</v>
      </c>
      <c r="AA68" s="45">
        <v>0</v>
      </c>
      <c r="AB68" s="5">
        <f>Table1[[#This Row],[Jul_Projected_Pay]]*0.08</f>
        <v>0</v>
      </c>
      <c r="AC68" s="5">
        <f>Table1[[#This Row],[Jul_Projected_Pay]]*0.02</f>
        <v>0</v>
      </c>
      <c r="AD68" s="5">
        <v>650</v>
      </c>
      <c r="AE68" s="45">
        <v>0</v>
      </c>
      <c r="AF68" s="5">
        <f>Table1[[#This Row],[Aug_Projected_Pay]]*0.08</f>
        <v>0</v>
      </c>
      <c r="AG68" s="5">
        <f>Table1[[#This Row],[Aug_Projected_Pay]]*0.02</f>
        <v>0</v>
      </c>
      <c r="AH68" s="5">
        <v>650</v>
      </c>
      <c r="AI68" s="45">
        <v>25273.354924770349</v>
      </c>
      <c r="AJ68" s="5">
        <f>Table1[[#This Row],[Sep_Projected_Pay]]*0.08</f>
        <v>2021.8683939816278</v>
      </c>
      <c r="AK68" s="5">
        <f>Table1[[#This Row],[Sep_Projected_Pay]]*0.02</f>
        <v>505.46709849540696</v>
      </c>
      <c r="AL68" s="5">
        <v>650</v>
      </c>
      <c r="AM68" s="45">
        <v>20576.18195043876</v>
      </c>
      <c r="AN68" s="5">
        <f>Table1[[#This Row],[Oct_Projected_Pay]]*0.08</f>
        <v>1646.0945560351008</v>
      </c>
      <c r="AO68" s="5">
        <f>Table1[[#This Row],[Oct_Projected_Pay]]*0.02</f>
        <v>411.52363900877521</v>
      </c>
      <c r="AP68" s="5">
        <v>650</v>
      </c>
      <c r="AQ68" s="45">
        <v>12759.766000494221</v>
      </c>
      <c r="AR68" s="5">
        <f>Table1[[#This Row],[Nov_Projected_Pay]]*0.08</f>
        <v>1020.7812800395377</v>
      </c>
      <c r="AS68" s="5">
        <f>Table1[[#This Row],[Nov_Projected_Pay]]*0.02</f>
        <v>255.19532000988443</v>
      </c>
      <c r="AT68" s="5">
        <v>650</v>
      </c>
      <c r="AU68" s="45">
        <v>14351.5937818491</v>
      </c>
      <c r="AV68" s="5">
        <f>Table1[[#This Row],[Dec_Projected_Pay]]*0.08</f>
        <v>1148.1275025479281</v>
      </c>
      <c r="AW68" s="5">
        <f>Table1[[#This Row],[Dec_Projected_Pay]]*0.02</f>
        <v>287.03187563698202</v>
      </c>
      <c r="AX68" s="5">
        <v>650</v>
      </c>
      <c r="AY68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110460.89665755242</v>
      </c>
      <c r="AZ68" s="59">
        <f>D68+H68+L68+P68+T68+X68+AB68+AF68+AJ68+AN68+AR68+AV68</f>
        <v>8836.8717326041951</v>
      </c>
      <c r="BA68" s="59">
        <f>E68+I68+M68+Q68+U68+Y68+AC68+AG68+AK68+AO68+AS68+AW68</f>
        <v>2209.2179331510488</v>
      </c>
      <c r="BB68" s="59">
        <f>F68+J68+N68+R68+V68+Z68+AD68+AH68+AL68+AP68+AT68+AX68</f>
        <v>5850</v>
      </c>
    </row>
    <row r="69" spans="1:54" x14ac:dyDescent="0.3">
      <c r="A69" t="s">
        <v>149</v>
      </c>
      <c r="B69" t="s">
        <v>216</v>
      </c>
      <c r="C69" s="46">
        <v>0</v>
      </c>
      <c r="D69" s="5">
        <f>Table1[[#This Row],[Jan_Projected_Pay]]*0.08</f>
        <v>0</v>
      </c>
      <c r="E69" s="5">
        <f>Table1[[#This Row],[Jan_Projected_Pay]]*0.02</f>
        <v>0</v>
      </c>
      <c r="F69" s="5">
        <v>0</v>
      </c>
      <c r="G69" s="45">
        <v>0</v>
      </c>
      <c r="H69" s="5">
        <f>Table1[[#This Row],[Feb_Projected_Pay]]*0.08</f>
        <v>0</v>
      </c>
      <c r="I69" s="5">
        <f>Table1[[#This Row],[Feb_Projected_Pay]]*0.02</f>
        <v>0</v>
      </c>
      <c r="J69" s="5">
        <v>0</v>
      </c>
      <c r="K69" s="45">
        <v>0</v>
      </c>
      <c r="L69" s="5">
        <f>Table1[[#This Row],[Mar_Projected_Pay]]*0.08</f>
        <v>0</v>
      </c>
      <c r="M69" s="5">
        <f>Table1[[#This Row],[Mar_Projected_Pay]]*0.02</f>
        <v>0</v>
      </c>
      <c r="N69" s="5">
        <v>0</v>
      </c>
      <c r="O69" s="45">
        <v>5000</v>
      </c>
      <c r="P69" s="5">
        <f>Table1[[#This Row],[Apr_Projected_Pay]]*0.08</f>
        <v>400</v>
      </c>
      <c r="Q69" s="5">
        <f>Table1[[#This Row],[Apr_Projected_Pay]]*0.02</f>
        <v>100</v>
      </c>
      <c r="R69" s="5">
        <v>650</v>
      </c>
      <c r="S69" s="45">
        <v>7500</v>
      </c>
      <c r="T69" s="5">
        <f>Table1[[#This Row],[May_Projected_Pay]]*0.08</f>
        <v>600</v>
      </c>
      <c r="U69" s="5">
        <f>Table1[[#This Row],[May_Projected_Pay]]*0.02</f>
        <v>150</v>
      </c>
      <c r="V69" s="5">
        <v>650</v>
      </c>
      <c r="W69" s="45">
        <v>25000</v>
      </c>
      <c r="X69" s="5">
        <f>Table1[[#This Row],[Jun_Projected_Pay]]*0.08</f>
        <v>2000</v>
      </c>
      <c r="Y69" s="5">
        <f>Table1[[#This Row],[Jun_Projected_Pay]]*0.02</f>
        <v>500</v>
      </c>
      <c r="Z69" s="5">
        <v>650</v>
      </c>
      <c r="AA69" s="45">
        <v>52799.332198601107</v>
      </c>
      <c r="AB69" s="5">
        <f>Table1[[#This Row],[Jul_Projected_Pay]]*0.08</f>
        <v>4223.9465758880888</v>
      </c>
      <c r="AC69" s="5">
        <f>Table1[[#This Row],[Jul_Projected_Pay]]*0.02</f>
        <v>1055.9866439720222</v>
      </c>
      <c r="AD69" s="5">
        <v>650</v>
      </c>
      <c r="AE69" s="45">
        <v>51842.930317157501</v>
      </c>
      <c r="AF69" s="5">
        <f>Table1[[#This Row],[Aug_Projected_Pay]]*0.08</f>
        <v>4147.4344253726003</v>
      </c>
      <c r="AG69" s="5">
        <f>Table1[[#This Row],[Aug_Projected_Pay]]*0.02</f>
        <v>1036.8586063431501</v>
      </c>
      <c r="AH69" s="5">
        <v>650</v>
      </c>
      <c r="AI69" s="45">
        <v>33658.536966293592</v>
      </c>
      <c r="AJ69" s="5">
        <f>Table1[[#This Row],[Sep_Projected_Pay]]*0.08</f>
        <v>2692.6829573034875</v>
      </c>
      <c r="AK69" s="5">
        <f>Table1[[#This Row],[Sep_Projected_Pay]]*0.02</f>
        <v>673.17073932587186</v>
      </c>
      <c r="AL69" s="5">
        <v>650</v>
      </c>
      <c r="AM69" s="45">
        <v>22455.2437467702</v>
      </c>
      <c r="AN69" s="5">
        <f>Table1[[#This Row],[Oct_Projected_Pay]]*0.08</f>
        <v>1796.4194997416162</v>
      </c>
      <c r="AO69" s="5">
        <f>Table1[[#This Row],[Oct_Projected_Pay]]*0.02</f>
        <v>449.10487493540404</v>
      </c>
      <c r="AP69" s="5">
        <v>650</v>
      </c>
      <c r="AQ69" s="45">
        <v>11583.63293769311</v>
      </c>
      <c r="AR69" s="5">
        <f>Table1[[#This Row],[Nov_Projected_Pay]]*0.08</f>
        <v>926.69063501544883</v>
      </c>
      <c r="AS69" s="5">
        <f>Table1[[#This Row],[Nov_Projected_Pay]]*0.02</f>
        <v>231.67265875386221</v>
      </c>
      <c r="AT69" s="5">
        <v>650</v>
      </c>
      <c r="AU69" s="45">
        <v>10852.726649908331</v>
      </c>
      <c r="AV69" s="5">
        <f>Table1[[#This Row],[Dec_Projected_Pay]]*0.08</f>
        <v>868.21813199266649</v>
      </c>
      <c r="AW69" s="5">
        <f>Table1[[#This Row],[Dec_Projected_Pay]]*0.02</f>
        <v>217.05453299816662</v>
      </c>
      <c r="AX69" s="5">
        <v>650</v>
      </c>
      <c r="AY69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220692.40281642383</v>
      </c>
      <c r="AZ69" s="59">
        <f>D69+H69+L69+P69+T69+X69+AB69+AF69+AJ69+AN69+AR69+AV69</f>
        <v>17655.39222531391</v>
      </c>
      <c r="BA69" s="59">
        <f>E69+I69+M69+Q69+U69+Y69+AC69+AG69+AK69+AO69+AS69+AW69</f>
        <v>4413.8480563284775</v>
      </c>
      <c r="BB69" s="59">
        <f>F69+J69+N69+R69+V69+Z69+AD69+AH69+AL69+AP69+AT69+AX69</f>
        <v>5850</v>
      </c>
    </row>
    <row r="70" spans="1:54" x14ac:dyDescent="0.3">
      <c r="A70" t="s">
        <v>151</v>
      </c>
      <c r="B70" t="s">
        <v>216</v>
      </c>
      <c r="C70" s="46">
        <v>0</v>
      </c>
      <c r="D70" s="5">
        <f>Table1[[#This Row],[Jan_Projected_Pay]]*0.08</f>
        <v>0</v>
      </c>
      <c r="E70" s="5">
        <f>Table1[[#This Row],[Jan_Projected_Pay]]*0.02</f>
        <v>0</v>
      </c>
      <c r="F70" s="5">
        <v>0</v>
      </c>
      <c r="G70" s="45">
        <v>0</v>
      </c>
      <c r="H70" s="5">
        <f>Table1[[#This Row],[Feb_Projected_Pay]]*0.08</f>
        <v>0</v>
      </c>
      <c r="I70" s="5">
        <f>Table1[[#This Row],[Feb_Projected_Pay]]*0.02</f>
        <v>0</v>
      </c>
      <c r="J70" s="5">
        <v>0</v>
      </c>
      <c r="K70" s="45">
        <v>0</v>
      </c>
      <c r="L70" s="5">
        <f>Table1[[#This Row],[Mar_Projected_Pay]]*0.08</f>
        <v>0</v>
      </c>
      <c r="M70" s="5">
        <f>Table1[[#This Row],[Mar_Projected_Pay]]*0.02</f>
        <v>0</v>
      </c>
      <c r="N70" s="5">
        <v>0</v>
      </c>
      <c r="O70" s="45">
        <v>5000</v>
      </c>
      <c r="P70" s="5">
        <f>Table1[[#This Row],[Apr_Projected_Pay]]*0.08</f>
        <v>400</v>
      </c>
      <c r="Q70" s="5">
        <f>Table1[[#This Row],[Apr_Projected_Pay]]*0.02</f>
        <v>100</v>
      </c>
      <c r="R70" s="5">
        <v>650</v>
      </c>
      <c r="S70" s="45">
        <v>7500</v>
      </c>
      <c r="T70" s="5">
        <f>Table1[[#This Row],[May_Projected_Pay]]*0.08</f>
        <v>600</v>
      </c>
      <c r="U70" s="5">
        <f>Table1[[#This Row],[May_Projected_Pay]]*0.02</f>
        <v>150</v>
      </c>
      <c r="V70" s="5">
        <v>650</v>
      </c>
      <c r="W70" s="45">
        <v>25000</v>
      </c>
      <c r="X70" s="5">
        <f>Table1[[#This Row],[Jun_Projected_Pay]]*0.08</f>
        <v>2000</v>
      </c>
      <c r="Y70" s="5">
        <f>Table1[[#This Row],[Jun_Projected_Pay]]*0.02</f>
        <v>500</v>
      </c>
      <c r="Z70" s="5">
        <v>650</v>
      </c>
      <c r="AA70" s="45">
        <v>31409.444183231659</v>
      </c>
      <c r="AB70" s="5">
        <f>Table1[[#This Row],[Jul_Projected_Pay]]*0.08</f>
        <v>2512.7555346585327</v>
      </c>
      <c r="AC70" s="5">
        <f>Table1[[#This Row],[Jul_Projected_Pay]]*0.02</f>
        <v>628.18888366463318</v>
      </c>
      <c r="AD70" s="5">
        <v>650</v>
      </c>
      <c r="AE70" s="45">
        <v>47581.367340091958</v>
      </c>
      <c r="AF70" s="5">
        <f>Table1[[#This Row],[Aug_Projected_Pay]]*0.08</f>
        <v>3806.5093872073567</v>
      </c>
      <c r="AG70" s="5">
        <f>Table1[[#This Row],[Aug_Projected_Pay]]*0.02</f>
        <v>951.62734680183917</v>
      </c>
      <c r="AH70" s="5">
        <v>650</v>
      </c>
      <c r="AI70" s="45">
        <v>31740.78111685468</v>
      </c>
      <c r="AJ70" s="5">
        <f>Table1[[#This Row],[Sep_Projected_Pay]]*0.08</f>
        <v>2539.2624893483744</v>
      </c>
      <c r="AK70" s="5">
        <f>Table1[[#This Row],[Sep_Projected_Pay]]*0.02</f>
        <v>634.8156223370936</v>
      </c>
      <c r="AL70" s="5">
        <v>650</v>
      </c>
      <c r="AM70" s="45">
        <v>29300.372598714112</v>
      </c>
      <c r="AN70" s="5">
        <f>Table1[[#This Row],[Oct_Projected_Pay]]*0.08</f>
        <v>2344.0298078971291</v>
      </c>
      <c r="AO70" s="5">
        <f>Table1[[#This Row],[Oct_Projected_Pay]]*0.02</f>
        <v>586.00745197428228</v>
      </c>
      <c r="AP70" s="5">
        <v>650</v>
      </c>
      <c r="AQ70" s="45">
        <v>18158.188588700701</v>
      </c>
      <c r="AR70" s="5">
        <f>Table1[[#This Row],[Nov_Projected_Pay]]*0.08</f>
        <v>1452.6550870960561</v>
      </c>
      <c r="AS70" s="5">
        <f>Table1[[#This Row],[Nov_Projected_Pay]]*0.02</f>
        <v>363.16377177401404</v>
      </c>
      <c r="AT70" s="5">
        <v>650</v>
      </c>
      <c r="AU70" s="45">
        <v>15537.71739989675</v>
      </c>
      <c r="AV70" s="5">
        <f>Table1[[#This Row],[Dec_Projected_Pay]]*0.08</f>
        <v>1243.0173919917399</v>
      </c>
      <c r="AW70" s="5">
        <f>Table1[[#This Row],[Dec_Projected_Pay]]*0.02</f>
        <v>310.75434799793499</v>
      </c>
      <c r="AX70" s="5">
        <v>650</v>
      </c>
      <c r="AY70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211227.87122748984</v>
      </c>
      <c r="AZ70" s="59">
        <f>D70+H70+L70+P70+T70+X70+AB70+AF70+AJ70+AN70+AR70+AV70</f>
        <v>16898.229698199186</v>
      </c>
      <c r="BA70" s="59">
        <f>E70+I70+M70+Q70+U70+Y70+AC70+AG70+AK70+AO70+AS70+AW70</f>
        <v>4224.5574245497965</v>
      </c>
      <c r="BB70" s="59">
        <f>F70+J70+N70+R70+V70+Z70+AD70+AH70+AL70+AP70+AT70+AX70</f>
        <v>5850</v>
      </c>
    </row>
    <row r="71" spans="1:54" x14ac:dyDescent="0.3">
      <c r="A71" t="s">
        <v>152</v>
      </c>
      <c r="B71" t="s">
        <v>216</v>
      </c>
      <c r="C71" s="46">
        <v>0</v>
      </c>
      <c r="D71" s="5">
        <f>Table1[[#This Row],[Jan_Projected_Pay]]*0.08</f>
        <v>0</v>
      </c>
      <c r="E71" s="5">
        <f>Table1[[#This Row],[Jan_Projected_Pay]]*0.02</f>
        <v>0</v>
      </c>
      <c r="F71" s="5">
        <v>0</v>
      </c>
      <c r="G71" s="45">
        <v>0</v>
      </c>
      <c r="H71" s="5">
        <f>Table1[[#This Row],[Feb_Projected_Pay]]*0.08</f>
        <v>0</v>
      </c>
      <c r="I71" s="5">
        <f>Table1[[#This Row],[Feb_Projected_Pay]]*0.02</f>
        <v>0</v>
      </c>
      <c r="J71" s="5">
        <v>0</v>
      </c>
      <c r="K71" s="45">
        <v>0</v>
      </c>
      <c r="L71" s="5">
        <f>Table1[[#This Row],[Mar_Projected_Pay]]*0.08</f>
        <v>0</v>
      </c>
      <c r="M71" s="5">
        <f>Table1[[#This Row],[Mar_Projected_Pay]]*0.02</f>
        <v>0</v>
      </c>
      <c r="N71" s="5">
        <v>0</v>
      </c>
      <c r="O71" s="45">
        <v>5000</v>
      </c>
      <c r="P71" s="5">
        <f>Table1[[#This Row],[Apr_Projected_Pay]]*0.08</f>
        <v>400</v>
      </c>
      <c r="Q71" s="5">
        <f>Table1[[#This Row],[Apr_Projected_Pay]]*0.02</f>
        <v>100</v>
      </c>
      <c r="R71" s="5">
        <v>650</v>
      </c>
      <c r="S71" s="45">
        <v>7500</v>
      </c>
      <c r="T71" s="5">
        <f>Table1[[#This Row],[May_Projected_Pay]]*0.08</f>
        <v>600</v>
      </c>
      <c r="U71" s="5">
        <f>Table1[[#This Row],[May_Projected_Pay]]*0.02</f>
        <v>150</v>
      </c>
      <c r="V71" s="5">
        <v>650</v>
      </c>
      <c r="W71" s="45">
        <v>25000</v>
      </c>
      <c r="X71" s="5">
        <f>Table1[[#This Row],[Jun_Projected_Pay]]*0.08</f>
        <v>2000</v>
      </c>
      <c r="Y71" s="5">
        <f>Table1[[#This Row],[Jun_Projected_Pay]]*0.02</f>
        <v>500</v>
      </c>
      <c r="Z71" s="5">
        <v>650</v>
      </c>
      <c r="AA71" s="45">
        <v>0</v>
      </c>
      <c r="AB71" s="5">
        <f>Table1[[#This Row],[Jul_Projected_Pay]]*0.08</f>
        <v>0</v>
      </c>
      <c r="AC71" s="5">
        <f>Table1[[#This Row],[Jul_Projected_Pay]]*0.02</f>
        <v>0</v>
      </c>
      <c r="AD71" s="5">
        <v>650</v>
      </c>
      <c r="AE71" s="45">
        <v>50086.186493128043</v>
      </c>
      <c r="AF71" s="5">
        <f>Table1[[#This Row],[Aug_Projected_Pay]]*0.08</f>
        <v>4006.8949194502434</v>
      </c>
      <c r="AG71" s="5">
        <f>Table1[[#This Row],[Aug_Projected_Pay]]*0.02</f>
        <v>1001.7237298625608</v>
      </c>
      <c r="AH71" s="5">
        <v>650</v>
      </c>
      <c r="AI71" s="45">
        <v>49663.77613227992</v>
      </c>
      <c r="AJ71" s="5">
        <f>Table1[[#This Row],[Sep_Projected_Pay]]*0.08</f>
        <v>3973.1020905823939</v>
      </c>
      <c r="AK71" s="5">
        <f>Table1[[#This Row],[Sep_Projected_Pay]]*0.02</f>
        <v>993.27552264559847</v>
      </c>
      <c r="AL71" s="5">
        <v>650</v>
      </c>
      <c r="AM71" s="45">
        <v>21291.9193396911</v>
      </c>
      <c r="AN71" s="5">
        <f>Table1[[#This Row],[Oct_Projected_Pay]]*0.08</f>
        <v>1703.353547175288</v>
      </c>
      <c r="AO71" s="5">
        <f>Table1[[#This Row],[Oct_Projected_Pay]]*0.02</f>
        <v>425.838386793822</v>
      </c>
      <c r="AP71" s="5">
        <v>650</v>
      </c>
      <c r="AQ71" s="45">
        <v>20573.160341722691</v>
      </c>
      <c r="AR71" s="5">
        <f>Table1[[#This Row],[Nov_Projected_Pay]]*0.08</f>
        <v>1645.8528273378154</v>
      </c>
      <c r="AS71" s="5">
        <f>Table1[[#This Row],[Nov_Projected_Pay]]*0.02</f>
        <v>411.46320683445384</v>
      </c>
      <c r="AT71" s="5">
        <v>650</v>
      </c>
      <c r="AU71" s="45">
        <v>8171.2830070032032</v>
      </c>
      <c r="AV71" s="5">
        <f>Table1[[#This Row],[Dec_Projected_Pay]]*0.08</f>
        <v>653.70264056025633</v>
      </c>
      <c r="AW71" s="5">
        <f>Table1[[#This Row],[Dec_Projected_Pay]]*0.02</f>
        <v>163.42566014006408</v>
      </c>
      <c r="AX71" s="5">
        <v>650</v>
      </c>
      <c r="AY71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187286.32531382496</v>
      </c>
      <c r="AZ71" s="59">
        <f>D71+H71+L71+P71+T71+X71+AB71+AF71+AJ71+AN71+AR71+AV71</f>
        <v>14982.906025105996</v>
      </c>
      <c r="BA71" s="59">
        <f>E71+I71+M71+Q71+U71+Y71+AC71+AG71+AK71+AO71+AS71+AW71</f>
        <v>3745.7265062764991</v>
      </c>
      <c r="BB71" s="59">
        <f>F71+J71+N71+R71+V71+Z71+AD71+AH71+AL71+AP71+AT71+AX71</f>
        <v>5850</v>
      </c>
    </row>
    <row r="72" spans="1:54" x14ac:dyDescent="0.3">
      <c r="A72" t="s">
        <v>153</v>
      </c>
      <c r="B72" t="s">
        <v>216</v>
      </c>
      <c r="C72" s="46">
        <v>0</v>
      </c>
      <c r="D72" s="5">
        <f>Table1[[#This Row],[Jan_Projected_Pay]]*0.08</f>
        <v>0</v>
      </c>
      <c r="E72" s="5">
        <f>Table1[[#This Row],[Jan_Projected_Pay]]*0.02</f>
        <v>0</v>
      </c>
      <c r="F72" s="5">
        <v>0</v>
      </c>
      <c r="G72" s="45">
        <v>0</v>
      </c>
      <c r="H72" s="5">
        <f>Table1[[#This Row],[Feb_Projected_Pay]]*0.08</f>
        <v>0</v>
      </c>
      <c r="I72" s="5">
        <f>Table1[[#This Row],[Feb_Projected_Pay]]*0.02</f>
        <v>0</v>
      </c>
      <c r="J72" s="5">
        <v>0</v>
      </c>
      <c r="K72" s="45">
        <v>0</v>
      </c>
      <c r="L72" s="5">
        <f>Table1[[#This Row],[Mar_Projected_Pay]]*0.08</f>
        <v>0</v>
      </c>
      <c r="M72" s="5">
        <f>Table1[[#This Row],[Mar_Projected_Pay]]*0.02</f>
        <v>0</v>
      </c>
      <c r="N72" s="5">
        <v>0</v>
      </c>
      <c r="O72" s="45">
        <v>5000</v>
      </c>
      <c r="P72" s="5">
        <f>Table1[[#This Row],[Apr_Projected_Pay]]*0.08</f>
        <v>400</v>
      </c>
      <c r="Q72" s="5">
        <f>Table1[[#This Row],[Apr_Projected_Pay]]*0.02</f>
        <v>100</v>
      </c>
      <c r="R72" s="5">
        <v>650</v>
      </c>
      <c r="S72" s="45">
        <v>7500</v>
      </c>
      <c r="T72" s="5">
        <f>Table1[[#This Row],[May_Projected_Pay]]*0.08</f>
        <v>600</v>
      </c>
      <c r="U72" s="5">
        <f>Table1[[#This Row],[May_Projected_Pay]]*0.02</f>
        <v>150</v>
      </c>
      <c r="V72" s="5">
        <v>650</v>
      </c>
      <c r="W72" s="45">
        <v>25000</v>
      </c>
      <c r="X72" s="5">
        <f>Table1[[#This Row],[Jun_Projected_Pay]]*0.08</f>
        <v>2000</v>
      </c>
      <c r="Y72" s="5">
        <f>Table1[[#This Row],[Jun_Projected_Pay]]*0.02</f>
        <v>500</v>
      </c>
      <c r="Z72" s="5">
        <v>650</v>
      </c>
      <c r="AA72" s="45">
        <v>48727.162135308034</v>
      </c>
      <c r="AB72" s="5">
        <f>Table1[[#This Row],[Jul_Projected_Pay]]*0.08</f>
        <v>3898.1729708246426</v>
      </c>
      <c r="AC72" s="5">
        <f>Table1[[#This Row],[Jul_Projected_Pay]]*0.02</f>
        <v>974.54324270616064</v>
      </c>
      <c r="AD72" s="5">
        <v>650</v>
      </c>
      <c r="AE72" s="45">
        <v>23735.72177460185</v>
      </c>
      <c r="AF72" s="5">
        <f>Table1[[#This Row],[Aug_Projected_Pay]]*0.08</f>
        <v>1898.857741968148</v>
      </c>
      <c r="AG72" s="5">
        <f>Table1[[#This Row],[Aug_Projected_Pay]]*0.02</f>
        <v>474.71443549203701</v>
      </c>
      <c r="AH72" s="5">
        <v>650</v>
      </c>
      <c r="AI72" s="45">
        <v>29649.166455219962</v>
      </c>
      <c r="AJ72" s="5">
        <f>Table1[[#This Row],[Sep_Projected_Pay]]*0.08</f>
        <v>2371.9333164175969</v>
      </c>
      <c r="AK72" s="5">
        <f>Table1[[#This Row],[Sep_Projected_Pay]]*0.02</f>
        <v>592.98332910439922</v>
      </c>
      <c r="AL72" s="5">
        <v>650</v>
      </c>
      <c r="AM72" s="45">
        <v>22743.110098445461</v>
      </c>
      <c r="AN72" s="5">
        <f>Table1[[#This Row],[Oct_Projected_Pay]]*0.08</f>
        <v>1819.4488078756369</v>
      </c>
      <c r="AO72" s="5">
        <f>Table1[[#This Row],[Oct_Projected_Pay]]*0.02</f>
        <v>454.86220196890923</v>
      </c>
      <c r="AP72" s="5">
        <v>650</v>
      </c>
      <c r="AQ72" s="45">
        <v>11516.226133129019</v>
      </c>
      <c r="AR72" s="5">
        <f>Table1[[#This Row],[Nov_Projected_Pay]]*0.08</f>
        <v>921.29809065032157</v>
      </c>
      <c r="AS72" s="5">
        <f>Table1[[#This Row],[Nov_Projected_Pay]]*0.02</f>
        <v>230.32452266258039</v>
      </c>
      <c r="AT72" s="5">
        <v>650</v>
      </c>
      <c r="AU72" s="45">
        <v>7334.1932332016177</v>
      </c>
      <c r="AV72" s="5">
        <f>Table1[[#This Row],[Dec_Projected_Pay]]*0.08</f>
        <v>586.73545865612948</v>
      </c>
      <c r="AW72" s="5">
        <f>Table1[[#This Row],[Dec_Projected_Pay]]*0.02</f>
        <v>146.68386466403237</v>
      </c>
      <c r="AX72" s="5">
        <v>650</v>
      </c>
      <c r="AY72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181205.57982990594</v>
      </c>
      <c r="AZ72" s="59">
        <f>D72+H72+L72+P72+T72+X72+AB72+AF72+AJ72+AN72+AR72+AV72</f>
        <v>14496.446386392474</v>
      </c>
      <c r="BA72" s="59">
        <f>E72+I72+M72+Q72+U72+Y72+AC72+AG72+AK72+AO72+AS72+AW72</f>
        <v>3624.1115965981185</v>
      </c>
      <c r="BB72" s="59">
        <f>F72+J72+N72+R72+V72+Z72+AD72+AH72+AL72+AP72+AT72+AX72</f>
        <v>5850</v>
      </c>
    </row>
    <row r="73" spans="1:54" x14ac:dyDescent="0.3">
      <c r="A73" t="s">
        <v>154</v>
      </c>
      <c r="B73" t="s">
        <v>216</v>
      </c>
      <c r="C73" s="46">
        <v>0</v>
      </c>
      <c r="D73" s="5">
        <f>Table1[[#This Row],[Jan_Projected_Pay]]*0.08</f>
        <v>0</v>
      </c>
      <c r="E73" s="5">
        <f>Table1[[#This Row],[Jan_Projected_Pay]]*0.02</f>
        <v>0</v>
      </c>
      <c r="F73" s="5">
        <v>0</v>
      </c>
      <c r="G73" s="45">
        <v>0</v>
      </c>
      <c r="H73" s="5">
        <f>Table1[[#This Row],[Feb_Projected_Pay]]*0.08</f>
        <v>0</v>
      </c>
      <c r="I73" s="5">
        <f>Table1[[#This Row],[Feb_Projected_Pay]]*0.02</f>
        <v>0</v>
      </c>
      <c r="J73" s="5">
        <v>0</v>
      </c>
      <c r="K73" s="45">
        <v>0</v>
      </c>
      <c r="L73" s="5">
        <f>Table1[[#This Row],[Mar_Projected_Pay]]*0.08</f>
        <v>0</v>
      </c>
      <c r="M73" s="5">
        <f>Table1[[#This Row],[Mar_Projected_Pay]]*0.02</f>
        <v>0</v>
      </c>
      <c r="N73" s="5">
        <v>0</v>
      </c>
      <c r="O73" s="45">
        <v>0</v>
      </c>
      <c r="P73" s="5">
        <f>Table1[[#This Row],[Apr_Projected_Pay]]*0.08</f>
        <v>0</v>
      </c>
      <c r="Q73" s="5">
        <f>Table1[[#This Row],[Apr_Projected_Pay]]*0.02</f>
        <v>0</v>
      </c>
      <c r="R73" s="5">
        <v>0</v>
      </c>
      <c r="S73" s="45">
        <v>5000</v>
      </c>
      <c r="T73" s="5">
        <f>Table1[[#This Row],[May_Projected_Pay]]*0.08</f>
        <v>400</v>
      </c>
      <c r="U73" s="5">
        <f>Table1[[#This Row],[May_Projected_Pay]]*0.02</f>
        <v>100</v>
      </c>
      <c r="V73" s="5">
        <v>650</v>
      </c>
      <c r="W73" s="45">
        <v>7500</v>
      </c>
      <c r="X73" s="5">
        <f>Table1[[#This Row],[Jun_Projected_Pay]]*0.08</f>
        <v>600</v>
      </c>
      <c r="Y73" s="5">
        <f>Table1[[#This Row],[Jun_Projected_Pay]]*0.02</f>
        <v>150</v>
      </c>
      <c r="Z73" s="5">
        <v>650</v>
      </c>
      <c r="AA73" s="45">
        <v>0</v>
      </c>
      <c r="AB73" s="5">
        <f>Table1[[#This Row],[Jul_Projected_Pay]]*0.08</f>
        <v>0</v>
      </c>
      <c r="AC73" s="5">
        <f>Table1[[#This Row],[Jul_Projected_Pay]]*0.02</f>
        <v>0</v>
      </c>
      <c r="AD73" s="5">
        <v>650</v>
      </c>
      <c r="AE73" s="45">
        <v>28399.050308502319</v>
      </c>
      <c r="AF73" s="5">
        <f>Table1[[#This Row],[Aug_Projected_Pay]]*0.08</f>
        <v>2271.9240246801855</v>
      </c>
      <c r="AG73" s="5">
        <f>Table1[[#This Row],[Aug_Projected_Pay]]*0.02</f>
        <v>567.98100617004638</v>
      </c>
      <c r="AH73" s="5">
        <v>650</v>
      </c>
      <c r="AI73" s="45">
        <v>27585.02351644712</v>
      </c>
      <c r="AJ73" s="5">
        <f>Table1[[#This Row],[Sep_Projected_Pay]]*0.08</f>
        <v>2206.8018813157696</v>
      </c>
      <c r="AK73" s="5">
        <f>Table1[[#This Row],[Sep_Projected_Pay]]*0.02</f>
        <v>551.7004703289424</v>
      </c>
      <c r="AL73" s="5">
        <v>650</v>
      </c>
      <c r="AM73" s="45">
        <v>20097.43350186944</v>
      </c>
      <c r="AN73" s="5">
        <f>Table1[[#This Row],[Oct_Projected_Pay]]*0.08</f>
        <v>1607.7946801495552</v>
      </c>
      <c r="AO73" s="5">
        <f>Table1[[#This Row],[Oct_Projected_Pay]]*0.02</f>
        <v>401.94867003738881</v>
      </c>
      <c r="AP73" s="5">
        <v>650</v>
      </c>
      <c r="AQ73" s="45">
        <v>18220.779422530119</v>
      </c>
      <c r="AR73" s="5">
        <f>Table1[[#This Row],[Nov_Projected_Pay]]*0.08</f>
        <v>1457.6623538024096</v>
      </c>
      <c r="AS73" s="5">
        <f>Table1[[#This Row],[Nov_Projected_Pay]]*0.02</f>
        <v>364.4155884506024</v>
      </c>
      <c r="AT73" s="5">
        <v>650</v>
      </c>
      <c r="AU73" s="45">
        <v>10079.860952930119</v>
      </c>
      <c r="AV73" s="5">
        <f>Table1[[#This Row],[Dec_Projected_Pay]]*0.08</f>
        <v>806.38887623440951</v>
      </c>
      <c r="AW73" s="5">
        <f>Table1[[#This Row],[Dec_Projected_Pay]]*0.02</f>
        <v>201.59721905860238</v>
      </c>
      <c r="AX73" s="5">
        <v>650</v>
      </c>
      <c r="AY73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116882.14770227912</v>
      </c>
      <c r="AZ73" s="59">
        <f>D73+H73+L73+P73+T73+X73+AB73+AF73+AJ73+AN73+AR73+AV73</f>
        <v>9350.5718161823315</v>
      </c>
      <c r="BA73" s="59">
        <f>E73+I73+M73+Q73+U73+Y73+AC73+AG73+AK73+AO73+AS73+AW73</f>
        <v>2337.6429540455829</v>
      </c>
      <c r="BB73" s="59">
        <f>F73+J73+N73+R73+V73+Z73+AD73+AH73+AL73+AP73+AT73+AX73</f>
        <v>5200</v>
      </c>
    </row>
    <row r="74" spans="1:54" x14ac:dyDescent="0.3">
      <c r="A74" t="s">
        <v>155</v>
      </c>
      <c r="B74" t="s">
        <v>216</v>
      </c>
      <c r="C74" s="46">
        <v>0</v>
      </c>
      <c r="D74" s="5">
        <f>Table1[[#This Row],[Jan_Projected_Pay]]*0.08</f>
        <v>0</v>
      </c>
      <c r="E74" s="5">
        <f>Table1[[#This Row],[Jan_Projected_Pay]]*0.02</f>
        <v>0</v>
      </c>
      <c r="F74" s="5">
        <v>0</v>
      </c>
      <c r="G74" s="45">
        <v>0</v>
      </c>
      <c r="H74" s="5">
        <f>Table1[[#This Row],[Feb_Projected_Pay]]*0.08</f>
        <v>0</v>
      </c>
      <c r="I74" s="5">
        <f>Table1[[#This Row],[Feb_Projected_Pay]]*0.02</f>
        <v>0</v>
      </c>
      <c r="J74" s="5">
        <v>0</v>
      </c>
      <c r="K74" s="45">
        <v>0</v>
      </c>
      <c r="L74" s="5">
        <f>Table1[[#This Row],[Mar_Projected_Pay]]*0.08</f>
        <v>0</v>
      </c>
      <c r="M74" s="5">
        <f>Table1[[#This Row],[Mar_Projected_Pay]]*0.02</f>
        <v>0</v>
      </c>
      <c r="N74" s="5">
        <v>0</v>
      </c>
      <c r="O74" s="45">
        <v>0</v>
      </c>
      <c r="P74" s="5">
        <f>Table1[[#This Row],[Apr_Projected_Pay]]*0.08</f>
        <v>0</v>
      </c>
      <c r="Q74" s="5">
        <f>Table1[[#This Row],[Apr_Projected_Pay]]*0.02</f>
        <v>0</v>
      </c>
      <c r="R74" s="5">
        <v>0</v>
      </c>
      <c r="S74" s="45">
        <v>5000</v>
      </c>
      <c r="T74" s="5">
        <f>Table1[[#This Row],[May_Projected_Pay]]*0.08</f>
        <v>400</v>
      </c>
      <c r="U74" s="5">
        <f>Table1[[#This Row],[May_Projected_Pay]]*0.02</f>
        <v>100</v>
      </c>
      <c r="V74" s="5">
        <v>650</v>
      </c>
      <c r="W74" s="45">
        <v>7500</v>
      </c>
      <c r="X74" s="5">
        <f>Table1[[#This Row],[Jun_Projected_Pay]]*0.08</f>
        <v>600</v>
      </c>
      <c r="Y74" s="5">
        <f>Table1[[#This Row],[Jun_Projected_Pay]]*0.02</f>
        <v>150</v>
      </c>
      <c r="Z74" s="5">
        <v>650</v>
      </c>
      <c r="AA74" s="45">
        <v>63989.336300162649</v>
      </c>
      <c r="AB74" s="5">
        <f>Table1[[#This Row],[Jul_Projected_Pay]]*0.08</f>
        <v>5119.1469040130123</v>
      </c>
      <c r="AC74" s="5">
        <f>Table1[[#This Row],[Jul_Projected_Pay]]*0.02</f>
        <v>1279.7867260032531</v>
      </c>
      <c r="AD74" s="5">
        <v>650</v>
      </c>
      <c r="AE74" s="45">
        <v>51401.722419584446</v>
      </c>
      <c r="AF74" s="5">
        <f>Table1[[#This Row],[Aug_Projected_Pay]]*0.08</f>
        <v>4112.137793566756</v>
      </c>
      <c r="AG74" s="5">
        <f>Table1[[#This Row],[Aug_Projected_Pay]]*0.02</f>
        <v>1028.034448391689</v>
      </c>
      <c r="AH74" s="5">
        <v>650</v>
      </c>
      <c r="AI74" s="45">
        <v>26435.71819047485</v>
      </c>
      <c r="AJ74" s="5">
        <f>Table1[[#This Row],[Sep_Projected_Pay]]*0.08</f>
        <v>2114.8574552379882</v>
      </c>
      <c r="AK74" s="5">
        <f>Table1[[#This Row],[Sep_Projected_Pay]]*0.02</f>
        <v>528.71436380949706</v>
      </c>
      <c r="AL74" s="5">
        <v>650</v>
      </c>
      <c r="AM74" s="45">
        <v>14594.541883350879</v>
      </c>
      <c r="AN74" s="5">
        <f>Table1[[#This Row],[Oct_Projected_Pay]]*0.08</f>
        <v>1167.5633506680704</v>
      </c>
      <c r="AO74" s="5">
        <f>Table1[[#This Row],[Oct_Projected_Pay]]*0.02</f>
        <v>291.89083766701759</v>
      </c>
      <c r="AP74" s="5">
        <v>650</v>
      </c>
      <c r="AQ74" s="45">
        <v>19915.98264116254</v>
      </c>
      <c r="AR74" s="5">
        <f>Table1[[#This Row],[Nov_Projected_Pay]]*0.08</f>
        <v>1593.2786112930032</v>
      </c>
      <c r="AS74" s="5">
        <f>Table1[[#This Row],[Nov_Projected_Pay]]*0.02</f>
        <v>398.31965282325081</v>
      </c>
      <c r="AT74" s="5">
        <v>650</v>
      </c>
      <c r="AU74" s="45">
        <v>7324.4878618786024</v>
      </c>
      <c r="AV74" s="5">
        <f>Table1[[#This Row],[Dec_Projected_Pay]]*0.08</f>
        <v>585.95902895028826</v>
      </c>
      <c r="AW74" s="5">
        <f>Table1[[#This Row],[Dec_Projected_Pay]]*0.02</f>
        <v>146.48975723757206</v>
      </c>
      <c r="AX74" s="5">
        <v>650</v>
      </c>
      <c r="AY74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196161.78929661398</v>
      </c>
      <c r="AZ74" s="59">
        <f>D74+H74+L74+P74+T74+X74+AB74+AF74+AJ74+AN74+AR74+AV74</f>
        <v>15692.943143729119</v>
      </c>
      <c r="BA74" s="59">
        <f>E74+I74+M74+Q74+U74+Y74+AC74+AG74+AK74+AO74+AS74+AW74</f>
        <v>3923.2357859322797</v>
      </c>
      <c r="BB74" s="59">
        <f>F74+J74+N74+R74+V74+Z74+AD74+AH74+AL74+AP74+AT74+AX74</f>
        <v>5200</v>
      </c>
    </row>
    <row r="75" spans="1:54" x14ac:dyDescent="0.3">
      <c r="A75" t="s">
        <v>156</v>
      </c>
      <c r="B75" t="s">
        <v>216</v>
      </c>
      <c r="C75" s="46">
        <v>0</v>
      </c>
      <c r="D75" s="5">
        <f>Table1[[#This Row],[Jan_Projected_Pay]]*0.08</f>
        <v>0</v>
      </c>
      <c r="E75" s="5">
        <f>Table1[[#This Row],[Jan_Projected_Pay]]*0.02</f>
        <v>0</v>
      </c>
      <c r="F75" s="5">
        <v>0</v>
      </c>
      <c r="G75" s="45">
        <v>0</v>
      </c>
      <c r="H75" s="5">
        <f>Table1[[#This Row],[Feb_Projected_Pay]]*0.08</f>
        <v>0</v>
      </c>
      <c r="I75" s="5">
        <f>Table1[[#This Row],[Feb_Projected_Pay]]*0.02</f>
        <v>0</v>
      </c>
      <c r="J75" s="5">
        <v>0</v>
      </c>
      <c r="K75" s="45">
        <v>0</v>
      </c>
      <c r="L75" s="5">
        <f>Table1[[#This Row],[Mar_Projected_Pay]]*0.08</f>
        <v>0</v>
      </c>
      <c r="M75" s="5">
        <f>Table1[[#This Row],[Mar_Projected_Pay]]*0.02</f>
        <v>0</v>
      </c>
      <c r="N75" s="5">
        <v>0</v>
      </c>
      <c r="O75" s="45">
        <v>0</v>
      </c>
      <c r="P75" s="5">
        <f>Table1[[#This Row],[Apr_Projected_Pay]]*0.08</f>
        <v>0</v>
      </c>
      <c r="Q75" s="5">
        <f>Table1[[#This Row],[Apr_Projected_Pay]]*0.02</f>
        <v>0</v>
      </c>
      <c r="R75" s="5">
        <v>0</v>
      </c>
      <c r="S75" s="45">
        <v>5000</v>
      </c>
      <c r="T75" s="5">
        <f>Table1[[#This Row],[May_Projected_Pay]]*0.08</f>
        <v>400</v>
      </c>
      <c r="U75" s="5">
        <f>Table1[[#This Row],[May_Projected_Pay]]*0.02</f>
        <v>100</v>
      </c>
      <c r="V75" s="5">
        <v>0</v>
      </c>
      <c r="W75" s="45">
        <v>7500</v>
      </c>
      <c r="X75" s="5">
        <f>Table1[[#This Row],[Jun_Projected_Pay]]*0.08</f>
        <v>600</v>
      </c>
      <c r="Y75" s="5">
        <f>Table1[[#This Row],[Jun_Projected_Pay]]*0.02</f>
        <v>150</v>
      </c>
      <c r="Z75" s="5">
        <v>650</v>
      </c>
      <c r="AA75" s="45">
        <v>7500</v>
      </c>
      <c r="AB75" s="5">
        <f>Table1[[#This Row],[Jul_Projected_Pay]]*0.08</f>
        <v>600</v>
      </c>
      <c r="AC75" s="5">
        <f>Table1[[#This Row],[Jul_Projected_Pay]]*0.02</f>
        <v>150</v>
      </c>
      <c r="AD75" s="5">
        <v>650</v>
      </c>
      <c r="AE75" s="45">
        <v>25000</v>
      </c>
      <c r="AF75" s="5">
        <f>Table1[[#This Row],[Aug_Projected_Pay]]*0.08</f>
        <v>2000</v>
      </c>
      <c r="AG75" s="5">
        <f>Table1[[#This Row],[Aug_Projected_Pay]]*0.02</f>
        <v>500</v>
      </c>
      <c r="AH75" s="5">
        <v>650</v>
      </c>
      <c r="AI75" s="45">
        <v>25848.119431526789</v>
      </c>
      <c r="AJ75" s="5">
        <f>Table1[[#This Row],[Sep_Projected_Pay]]*0.08</f>
        <v>2067.8495545221431</v>
      </c>
      <c r="AK75" s="5">
        <f>Table1[[#This Row],[Sep_Projected_Pay]]*0.02</f>
        <v>516.96238863053577</v>
      </c>
      <c r="AL75" s="5">
        <v>650</v>
      </c>
      <c r="AM75" s="45">
        <v>24488.795375255741</v>
      </c>
      <c r="AN75" s="5">
        <f>Table1[[#This Row],[Oct_Projected_Pay]]*0.08</f>
        <v>1959.1036300204594</v>
      </c>
      <c r="AO75" s="5">
        <f>Table1[[#This Row],[Oct_Projected_Pay]]*0.02</f>
        <v>489.77590750511484</v>
      </c>
      <c r="AP75" s="5">
        <v>650</v>
      </c>
      <c r="AQ75" s="45">
        <v>17244.75229068581</v>
      </c>
      <c r="AR75" s="5">
        <f>Table1[[#This Row],[Nov_Projected_Pay]]*0.08</f>
        <v>1379.5801832548648</v>
      </c>
      <c r="AS75" s="5">
        <f>Table1[[#This Row],[Nov_Projected_Pay]]*0.02</f>
        <v>344.89504581371619</v>
      </c>
      <c r="AT75" s="5">
        <v>650</v>
      </c>
      <c r="AU75" s="45">
        <v>8906.5415425987376</v>
      </c>
      <c r="AV75" s="5">
        <f>Table1[[#This Row],[Dec_Projected_Pay]]*0.08</f>
        <v>712.52332340789906</v>
      </c>
      <c r="AW75" s="5">
        <f>Table1[[#This Row],[Dec_Projected_Pay]]*0.02</f>
        <v>178.13083085197476</v>
      </c>
      <c r="AX75" s="5">
        <v>650</v>
      </c>
      <c r="AY75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121488.20864006708</v>
      </c>
      <c r="AZ75" s="59">
        <f>D75+H75+L75+P75+T75+X75+AB75+AF75+AJ75+AN75+AR75+AV75</f>
        <v>9719.0566912053655</v>
      </c>
      <c r="BA75" s="59">
        <f>E75+I75+M75+Q75+U75+Y75+AC75+AG75+AK75+AO75+AS75+AW75</f>
        <v>2429.7641728013414</v>
      </c>
      <c r="BB75" s="59">
        <f>F75+J75+N75+R75+V75+Z75+AD75+AH75+AL75+AP75+AT75+AX75</f>
        <v>4550</v>
      </c>
    </row>
    <row r="76" spans="1:54" x14ac:dyDescent="0.3">
      <c r="A76" t="s">
        <v>157</v>
      </c>
      <c r="B76" t="s">
        <v>216</v>
      </c>
      <c r="C76" s="46">
        <v>0</v>
      </c>
      <c r="D76" s="5">
        <f>Table1[[#This Row],[Jan_Projected_Pay]]*0.08</f>
        <v>0</v>
      </c>
      <c r="E76" s="5">
        <f>Table1[[#This Row],[Jan_Projected_Pay]]*0.02</f>
        <v>0</v>
      </c>
      <c r="F76" s="5">
        <v>0</v>
      </c>
      <c r="G76" s="45">
        <v>0</v>
      </c>
      <c r="H76" s="5">
        <f>Table1[[#This Row],[Feb_Projected_Pay]]*0.08</f>
        <v>0</v>
      </c>
      <c r="I76" s="5">
        <f>Table1[[#This Row],[Feb_Projected_Pay]]*0.02</f>
        <v>0</v>
      </c>
      <c r="J76" s="5">
        <v>0</v>
      </c>
      <c r="K76" s="45">
        <v>0</v>
      </c>
      <c r="L76" s="5">
        <f>Table1[[#This Row],[Mar_Projected_Pay]]*0.08</f>
        <v>0</v>
      </c>
      <c r="M76" s="5">
        <f>Table1[[#This Row],[Mar_Projected_Pay]]*0.02</f>
        <v>0</v>
      </c>
      <c r="N76" s="5">
        <v>0</v>
      </c>
      <c r="O76" s="45">
        <v>0</v>
      </c>
      <c r="P76" s="5">
        <f>Table1[[#This Row],[Apr_Projected_Pay]]*0.08</f>
        <v>0</v>
      </c>
      <c r="Q76" s="5">
        <f>Table1[[#This Row],[Apr_Projected_Pay]]*0.02</f>
        <v>0</v>
      </c>
      <c r="R76" s="5">
        <v>0</v>
      </c>
      <c r="S76" s="45">
        <v>0</v>
      </c>
      <c r="T76" s="5">
        <f>Table1[[#This Row],[May_Projected_Pay]]*0.08</f>
        <v>0</v>
      </c>
      <c r="U76" s="5">
        <f>Table1[[#This Row],[May_Projected_Pay]]*0.02</f>
        <v>0</v>
      </c>
      <c r="V76" s="5">
        <v>0</v>
      </c>
      <c r="W76" s="45">
        <v>5000</v>
      </c>
      <c r="X76" s="5">
        <f>Table1[[#This Row],[Jun_Projected_Pay]]*0.08</f>
        <v>400</v>
      </c>
      <c r="Y76" s="5">
        <f>Table1[[#This Row],[Jun_Projected_Pay]]*0.02</f>
        <v>100</v>
      </c>
      <c r="Z76" s="5">
        <v>650</v>
      </c>
      <c r="AA76" s="45">
        <v>7500</v>
      </c>
      <c r="AB76" s="5">
        <f>Table1[[#This Row],[Jul_Projected_Pay]]*0.08</f>
        <v>600</v>
      </c>
      <c r="AC76" s="5">
        <f>Table1[[#This Row],[Jul_Projected_Pay]]*0.02</f>
        <v>150</v>
      </c>
      <c r="AD76" s="5">
        <v>650</v>
      </c>
      <c r="AE76" s="45">
        <v>25000</v>
      </c>
      <c r="AF76" s="5">
        <f>Table1[[#This Row],[Aug_Projected_Pay]]*0.08</f>
        <v>2000</v>
      </c>
      <c r="AG76" s="5">
        <f>Table1[[#This Row],[Aug_Projected_Pay]]*0.02</f>
        <v>500</v>
      </c>
      <c r="AH76" s="5">
        <v>650</v>
      </c>
      <c r="AI76" s="45">
        <v>24958.81870395942</v>
      </c>
      <c r="AJ76" s="5">
        <f>Table1[[#This Row],[Sep_Projected_Pay]]*0.08</f>
        <v>1996.7054963167536</v>
      </c>
      <c r="AK76" s="5">
        <f>Table1[[#This Row],[Sep_Projected_Pay]]*0.02</f>
        <v>499.17637407918841</v>
      </c>
      <c r="AL76" s="5">
        <v>650</v>
      </c>
      <c r="AM76" s="45">
        <v>21709.95191797812</v>
      </c>
      <c r="AN76" s="5">
        <f>Table1[[#This Row],[Oct_Projected_Pay]]*0.08</f>
        <v>1736.7961534382496</v>
      </c>
      <c r="AO76" s="5">
        <f>Table1[[#This Row],[Oct_Projected_Pay]]*0.02</f>
        <v>434.19903835956239</v>
      </c>
      <c r="AP76" s="5">
        <v>650</v>
      </c>
      <c r="AQ76" s="45">
        <v>17003.830794188281</v>
      </c>
      <c r="AR76" s="5">
        <f>Table1[[#This Row],[Nov_Projected_Pay]]*0.08</f>
        <v>1360.3064635350624</v>
      </c>
      <c r="AS76" s="5">
        <f>Table1[[#This Row],[Nov_Projected_Pay]]*0.02</f>
        <v>340.07661588376561</v>
      </c>
      <c r="AT76" s="5">
        <v>650</v>
      </c>
      <c r="AU76" s="45">
        <v>7439.4536150115628</v>
      </c>
      <c r="AV76" s="5">
        <f>Table1[[#This Row],[Dec_Projected_Pay]]*0.08</f>
        <v>595.15628920092502</v>
      </c>
      <c r="AW76" s="5">
        <f>Table1[[#This Row],[Dec_Projected_Pay]]*0.02</f>
        <v>148.78907230023125</v>
      </c>
      <c r="AX76" s="5">
        <v>650</v>
      </c>
      <c r="AY76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108612.05503113738</v>
      </c>
      <c r="AZ76" s="59">
        <f>D76+H76+L76+P76+T76+X76+AB76+AF76+AJ76+AN76+AR76+AV76</f>
        <v>8688.9644024909903</v>
      </c>
      <c r="BA76" s="59">
        <f>E76+I76+M76+Q76+U76+Y76+AC76+AG76+AK76+AO76+AS76+AW76</f>
        <v>2172.2411006227476</v>
      </c>
      <c r="BB76" s="59">
        <f>F76+J76+N76+R76+V76+Z76+AD76+AH76+AL76+AP76+AT76+AX76</f>
        <v>4550</v>
      </c>
    </row>
    <row r="77" spans="1:54" x14ac:dyDescent="0.3">
      <c r="A77" t="s">
        <v>158</v>
      </c>
      <c r="B77" t="s">
        <v>216</v>
      </c>
      <c r="C77" s="46">
        <v>0</v>
      </c>
      <c r="D77" s="5">
        <f>Table1[[#This Row],[Jan_Projected_Pay]]*0.08</f>
        <v>0</v>
      </c>
      <c r="E77" s="5">
        <f>Table1[[#This Row],[Jan_Projected_Pay]]*0.02</f>
        <v>0</v>
      </c>
      <c r="F77" s="5">
        <v>0</v>
      </c>
      <c r="G77" s="45">
        <v>0</v>
      </c>
      <c r="H77" s="5">
        <f>Table1[[#This Row],[Feb_Projected_Pay]]*0.08</f>
        <v>0</v>
      </c>
      <c r="I77" s="5">
        <f>Table1[[#This Row],[Feb_Projected_Pay]]*0.02</f>
        <v>0</v>
      </c>
      <c r="J77" s="5">
        <v>0</v>
      </c>
      <c r="K77" s="45">
        <v>0</v>
      </c>
      <c r="L77" s="5">
        <f>Table1[[#This Row],[Mar_Projected_Pay]]*0.08</f>
        <v>0</v>
      </c>
      <c r="M77" s="5">
        <f>Table1[[#This Row],[Mar_Projected_Pay]]*0.02</f>
        <v>0</v>
      </c>
      <c r="N77" s="5">
        <v>0</v>
      </c>
      <c r="O77" s="45">
        <v>0</v>
      </c>
      <c r="P77" s="5">
        <f>Table1[[#This Row],[Apr_Projected_Pay]]*0.08</f>
        <v>0</v>
      </c>
      <c r="Q77" s="5">
        <f>Table1[[#This Row],[Apr_Projected_Pay]]*0.02</f>
        <v>0</v>
      </c>
      <c r="R77" s="5">
        <v>0</v>
      </c>
      <c r="S77" s="45">
        <v>0</v>
      </c>
      <c r="T77" s="5">
        <f>Table1[[#This Row],[May_Projected_Pay]]*0.08</f>
        <v>0</v>
      </c>
      <c r="U77" s="5">
        <f>Table1[[#This Row],[May_Projected_Pay]]*0.02</f>
        <v>0</v>
      </c>
      <c r="V77" s="5">
        <v>0</v>
      </c>
      <c r="W77" s="45">
        <v>5000</v>
      </c>
      <c r="X77" s="5">
        <f>Table1[[#This Row],[Jun_Projected_Pay]]*0.08</f>
        <v>400</v>
      </c>
      <c r="Y77" s="5">
        <f>Table1[[#This Row],[Jun_Projected_Pay]]*0.02</f>
        <v>100</v>
      </c>
      <c r="Z77" s="5">
        <v>0</v>
      </c>
      <c r="AA77" s="45">
        <v>7500</v>
      </c>
      <c r="AB77" s="5">
        <f>Table1[[#This Row],[Jul_Projected_Pay]]*0.08</f>
        <v>600</v>
      </c>
      <c r="AC77" s="5">
        <f>Table1[[#This Row],[Jul_Projected_Pay]]*0.02</f>
        <v>150</v>
      </c>
      <c r="AD77" s="5">
        <v>650</v>
      </c>
      <c r="AE77" s="45">
        <v>25000</v>
      </c>
      <c r="AF77" s="5">
        <f>Table1[[#This Row],[Aug_Projected_Pay]]*0.08</f>
        <v>2000</v>
      </c>
      <c r="AG77" s="5">
        <f>Table1[[#This Row],[Aug_Projected_Pay]]*0.02</f>
        <v>500</v>
      </c>
      <c r="AH77" s="5">
        <v>650</v>
      </c>
      <c r="AI77" s="45">
        <v>15264</v>
      </c>
      <c r="AJ77" s="5">
        <f>Table1[[#This Row],[Sep_Projected_Pay]]*0.08</f>
        <v>1221.1200000000001</v>
      </c>
      <c r="AK77" s="5">
        <f>Table1[[#This Row],[Sep_Projected_Pay]]*0.02</f>
        <v>305.28000000000003</v>
      </c>
      <c r="AL77" s="5">
        <v>650</v>
      </c>
      <c r="AM77" s="45">
        <v>13589.95096328639</v>
      </c>
      <c r="AN77" s="5">
        <f>Table1[[#This Row],[Oct_Projected_Pay]]*0.08</f>
        <v>1087.1960770629112</v>
      </c>
      <c r="AO77" s="5">
        <f>Table1[[#This Row],[Oct_Projected_Pay]]*0.02</f>
        <v>271.79901926572779</v>
      </c>
      <c r="AP77" s="5">
        <v>650</v>
      </c>
      <c r="AQ77" s="45">
        <v>22433.158796967589</v>
      </c>
      <c r="AR77" s="5">
        <f>Table1[[#This Row],[Nov_Projected_Pay]]*0.08</f>
        <v>1794.6527037574072</v>
      </c>
      <c r="AS77" s="5">
        <f>Table1[[#This Row],[Nov_Projected_Pay]]*0.02</f>
        <v>448.66317593935179</v>
      </c>
      <c r="AT77" s="5">
        <v>650</v>
      </c>
      <c r="AU77" s="45">
        <v>7829.4051637251941</v>
      </c>
      <c r="AV77" s="5">
        <f>Table1[[#This Row],[Dec_Projected_Pay]]*0.08</f>
        <v>626.35241309801552</v>
      </c>
      <c r="AW77" s="5">
        <f>Table1[[#This Row],[Dec_Projected_Pay]]*0.02</f>
        <v>156.58810327450388</v>
      </c>
      <c r="AX77" s="5">
        <v>650</v>
      </c>
      <c r="AY77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96616.514923979179</v>
      </c>
      <c r="AZ77" s="59">
        <f>D77+H77+L77+P77+T77+X77+AB77+AF77+AJ77+AN77+AR77+AV77</f>
        <v>7729.3211939183338</v>
      </c>
      <c r="BA77" s="59">
        <f>E77+I77+M77+Q77+U77+Y77+AC77+AG77+AK77+AO77+AS77+AW77</f>
        <v>1932.3302984795835</v>
      </c>
      <c r="BB77" s="59">
        <f>F77+J77+N77+R77+V77+Z77+AD77+AH77+AL77+AP77+AT77+AX77</f>
        <v>3900</v>
      </c>
    </row>
    <row r="78" spans="1:54" x14ac:dyDescent="0.3">
      <c r="A78" t="s">
        <v>159</v>
      </c>
      <c r="B78" t="s">
        <v>216</v>
      </c>
      <c r="C78" s="46">
        <v>0</v>
      </c>
      <c r="D78" s="5">
        <f>Table1[[#This Row],[Jan_Projected_Pay]]*0.08</f>
        <v>0</v>
      </c>
      <c r="E78" s="5">
        <f>Table1[[#This Row],[Jan_Projected_Pay]]*0.02</f>
        <v>0</v>
      </c>
      <c r="F78" s="5">
        <v>0</v>
      </c>
      <c r="G78" s="45">
        <v>0</v>
      </c>
      <c r="H78" s="5">
        <f>Table1[[#This Row],[Feb_Projected_Pay]]*0.08</f>
        <v>0</v>
      </c>
      <c r="I78" s="5">
        <f>Table1[[#This Row],[Feb_Projected_Pay]]*0.02</f>
        <v>0</v>
      </c>
      <c r="J78" s="5">
        <v>0</v>
      </c>
      <c r="K78" s="45">
        <v>0</v>
      </c>
      <c r="L78" s="5">
        <f>Table1[[#This Row],[Mar_Projected_Pay]]*0.08</f>
        <v>0</v>
      </c>
      <c r="M78" s="5">
        <f>Table1[[#This Row],[Mar_Projected_Pay]]*0.02</f>
        <v>0</v>
      </c>
      <c r="N78" s="5">
        <v>0</v>
      </c>
      <c r="O78" s="45">
        <v>0</v>
      </c>
      <c r="P78" s="5">
        <f>Table1[[#This Row],[Apr_Projected_Pay]]*0.08</f>
        <v>0</v>
      </c>
      <c r="Q78" s="5">
        <f>Table1[[#This Row],[Apr_Projected_Pay]]*0.02</f>
        <v>0</v>
      </c>
      <c r="R78" s="5">
        <v>0</v>
      </c>
      <c r="S78" s="45">
        <v>0</v>
      </c>
      <c r="T78" s="5">
        <f>Table1[[#This Row],[May_Projected_Pay]]*0.08</f>
        <v>0</v>
      </c>
      <c r="U78" s="5">
        <f>Table1[[#This Row],[May_Projected_Pay]]*0.02</f>
        <v>0</v>
      </c>
      <c r="V78" s="5">
        <v>0</v>
      </c>
      <c r="W78" s="45">
        <v>5000</v>
      </c>
      <c r="X78" s="5">
        <f>Table1[[#This Row],[Jun_Projected_Pay]]*0.08</f>
        <v>400</v>
      </c>
      <c r="Y78" s="5">
        <f>Table1[[#This Row],[Jun_Projected_Pay]]*0.02</f>
        <v>100</v>
      </c>
      <c r="Z78" s="5">
        <v>0</v>
      </c>
      <c r="AA78" s="45">
        <v>7500</v>
      </c>
      <c r="AB78" s="5">
        <f>Table1[[#This Row],[Jul_Projected_Pay]]*0.08</f>
        <v>600</v>
      </c>
      <c r="AC78" s="5">
        <f>Table1[[#This Row],[Jul_Projected_Pay]]*0.02</f>
        <v>150</v>
      </c>
      <c r="AD78" s="5">
        <v>650</v>
      </c>
      <c r="AE78" s="45">
        <v>25000</v>
      </c>
      <c r="AF78" s="5">
        <f>Table1[[#This Row],[Aug_Projected_Pay]]*0.08</f>
        <v>2000</v>
      </c>
      <c r="AG78" s="5">
        <f>Table1[[#This Row],[Aug_Projected_Pay]]*0.02</f>
        <v>500</v>
      </c>
      <c r="AH78" s="5">
        <v>650</v>
      </c>
      <c r="AI78" s="45">
        <v>12163</v>
      </c>
      <c r="AJ78" s="5">
        <f>Table1[[#This Row],[Sep_Projected_Pay]]*0.08</f>
        <v>973.04</v>
      </c>
      <c r="AK78" s="5">
        <f>Table1[[#This Row],[Sep_Projected_Pay]]*0.02</f>
        <v>243.26</v>
      </c>
      <c r="AL78" s="5">
        <v>650</v>
      </c>
      <c r="AM78" s="45">
        <v>26691.149998758508</v>
      </c>
      <c r="AN78" s="5">
        <f>Table1[[#This Row],[Oct_Projected_Pay]]*0.08</f>
        <v>2135.2919999006808</v>
      </c>
      <c r="AO78" s="5">
        <f>Table1[[#This Row],[Oct_Projected_Pay]]*0.02</f>
        <v>533.82299997517021</v>
      </c>
      <c r="AP78" s="5">
        <v>650</v>
      </c>
      <c r="AQ78" s="45">
        <v>17703.16914328633</v>
      </c>
      <c r="AR78" s="5">
        <f>Table1[[#This Row],[Nov_Projected_Pay]]*0.08</f>
        <v>1416.2535314629065</v>
      </c>
      <c r="AS78" s="5">
        <f>Table1[[#This Row],[Nov_Projected_Pay]]*0.02</f>
        <v>354.06338286572662</v>
      </c>
      <c r="AT78" s="5">
        <v>650</v>
      </c>
      <c r="AU78" s="45">
        <v>10655.10743788437</v>
      </c>
      <c r="AV78" s="5">
        <f>Table1[[#This Row],[Dec_Projected_Pay]]*0.08</f>
        <v>852.40859503074955</v>
      </c>
      <c r="AW78" s="5">
        <f>Table1[[#This Row],[Dec_Projected_Pay]]*0.02</f>
        <v>213.10214875768739</v>
      </c>
      <c r="AX78" s="5">
        <v>650</v>
      </c>
      <c r="AY78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104712.4265799292</v>
      </c>
      <c r="AZ78" s="59">
        <f>D78+H78+L78+P78+T78+X78+AB78+AF78+AJ78+AN78+AR78+AV78</f>
        <v>8376.9941263943365</v>
      </c>
      <c r="BA78" s="59">
        <f>E78+I78+M78+Q78+U78+Y78+AC78+AG78+AK78+AO78+AS78+AW78</f>
        <v>2094.2485315985841</v>
      </c>
      <c r="BB78" s="59">
        <f>F78+J78+N78+R78+V78+Z78+AD78+AH78+AL78+AP78+AT78+AX78</f>
        <v>3900</v>
      </c>
    </row>
    <row r="79" spans="1:54" x14ac:dyDescent="0.3">
      <c r="A79" t="s">
        <v>160</v>
      </c>
      <c r="B79" t="s">
        <v>216</v>
      </c>
      <c r="C79" s="46">
        <v>0</v>
      </c>
      <c r="D79" s="5">
        <f>Table1[[#This Row],[Jan_Projected_Pay]]*0.08</f>
        <v>0</v>
      </c>
      <c r="E79" s="5">
        <f>Table1[[#This Row],[Jan_Projected_Pay]]*0.02</f>
        <v>0</v>
      </c>
      <c r="F79" s="5">
        <v>0</v>
      </c>
      <c r="G79" s="45">
        <v>0</v>
      </c>
      <c r="H79" s="5">
        <f>Table1[[#This Row],[Feb_Projected_Pay]]*0.08</f>
        <v>0</v>
      </c>
      <c r="I79" s="5">
        <f>Table1[[#This Row],[Feb_Projected_Pay]]*0.02</f>
        <v>0</v>
      </c>
      <c r="J79" s="5">
        <v>0</v>
      </c>
      <c r="K79" s="45">
        <v>0</v>
      </c>
      <c r="L79" s="5">
        <f>Table1[[#This Row],[Mar_Projected_Pay]]*0.08</f>
        <v>0</v>
      </c>
      <c r="M79" s="5">
        <f>Table1[[#This Row],[Mar_Projected_Pay]]*0.02</f>
        <v>0</v>
      </c>
      <c r="N79" s="5">
        <v>0</v>
      </c>
      <c r="O79" s="45">
        <v>0</v>
      </c>
      <c r="P79" s="5">
        <f>Table1[[#This Row],[Apr_Projected_Pay]]*0.08</f>
        <v>0</v>
      </c>
      <c r="Q79" s="5">
        <f>Table1[[#This Row],[Apr_Projected_Pay]]*0.02</f>
        <v>0</v>
      </c>
      <c r="R79" s="5">
        <v>0</v>
      </c>
      <c r="S79" s="45">
        <v>0</v>
      </c>
      <c r="T79" s="5">
        <f>Table1[[#This Row],[May_Projected_Pay]]*0.08</f>
        <v>0</v>
      </c>
      <c r="U79" s="5">
        <f>Table1[[#This Row],[May_Projected_Pay]]*0.02</f>
        <v>0</v>
      </c>
      <c r="V79" s="5">
        <v>0</v>
      </c>
      <c r="W79" s="45">
        <v>5000</v>
      </c>
      <c r="X79" s="5">
        <f>Table1[[#This Row],[Jun_Projected_Pay]]*0.08</f>
        <v>400</v>
      </c>
      <c r="Y79" s="5">
        <f>Table1[[#This Row],[Jun_Projected_Pay]]*0.02</f>
        <v>100</v>
      </c>
      <c r="Z79" s="5">
        <v>0</v>
      </c>
      <c r="AA79" s="45">
        <v>7500</v>
      </c>
      <c r="AB79" s="5">
        <f>Table1[[#This Row],[Jul_Projected_Pay]]*0.08</f>
        <v>600</v>
      </c>
      <c r="AC79" s="5">
        <f>Table1[[#This Row],[Jul_Projected_Pay]]*0.02</f>
        <v>150</v>
      </c>
      <c r="AD79" s="5">
        <v>650</v>
      </c>
      <c r="AE79" s="45">
        <v>25000</v>
      </c>
      <c r="AF79" s="5">
        <f>Table1[[#This Row],[Aug_Projected_Pay]]*0.08</f>
        <v>2000</v>
      </c>
      <c r="AG79" s="5">
        <f>Table1[[#This Row],[Aug_Projected_Pay]]*0.02</f>
        <v>500</v>
      </c>
      <c r="AH79" s="5">
        <v>650</v>
      </c>
      <c r="AI79" s="45">
        <v>22654</v>
      </c>
      <c r="AJ79" s="5">
        <f>Table1[[#This Row],[Sep_Projected_Pay]]*0.08</f>
        <v>1812.32</v>
      </c>
      <c r="AK79" s="5">
        <f>Table1[[#This Row],[Sep_Projected_Pay]]*0.02</f>
        <v>453.08</v>
      </c>
      <c r="AL79" s="5">
        <v>650</v>
      </c>
      <c r="AM79" s="45">
        <v>25148.306944937649</v>
      </c>
      <c r="AN79" s="5">
        <f>Table1[[#This Row],[Oct_Projected_Pay]]*0.08</f>
        <v>2011.864555595012</v>
      </c>
      <c r="AO79" s="5">
        <f>Table1[[#This Row],[Oct_Projected_Pay]]*0.02</f>
        <v>502.966138898753</v>
      </c>
      <c r="AP79" s="5">
        <v>650</v>
      </c>
      <c r="AQ79" s="45">
        <v>17611.505653184289</v>
      </c>
      <c r="AR79" s="5">
        <f>Table1[[#This Row],[Nov_Projected_Pay]]*0.08</f>
        <v>1408.9204522547432</v>
      </c>
      <c r="AS79" s="5">
        <f>Table1[[#This Row],[Nov_Projected_Pay]]*0.02</f>
        <v>352.23011306368579</v>
      </c>
      <c r="AT79" s="5">
        <v>650</v>
      </c>
      <c r="AU79" s="45">
        <v>7060.5220044377566</v>
      </c>
      <c r="AV79" s="5">
        <f>Table1[[#This Row],[Dec_Projected_Pay]]*0.08</f>
        <v>564.84176035502048</v>
      </c>
      <c r="AW79" s="5">
        <f>Table1[[#This Row],[Dec_Projected_Pay]]*0.02</f>
        <v>141.21044008875512</v>
      </c>
      <c r="AX79" s="5">
        <v>650</v>
      </c>
      <c r="AY79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109974.3346025597</v>
      </c>
      <c r="AZ79" s="59">
        <f>D79+H79+L79+P79+T79+X79+AB79+AF79+AJ79+AN79+AR79+AV79</f>
        <v>8797.9467682047743</v>
      </c>
      <c r="BA79" s="59">
        <f>E79+I79+M79+Q79+U79+Y79+AC79+AG79+AK79+AO79+AS79+AW79</f>
        <v>2199.4866920511936</v>
      </c>
      <c r="BB79" s="59">
        <f>F79+J79+N79+R79+V79+Z79+AD79+AH79+AL79+AP79+AT79+AX79</f>
        <v>3900</v>
      </c>
    </row>
    <row r="80" spans="1:54" x14ac:dyDescent="0.3">
      <c r="A80" t="s">
        <v>161</v>
      </c>
      <c r="B80" t="s">
        <v>216</v>
      </c>
      <c r="C80" s="46">
        <v>0</v>
      </c>
      <c r="D80" s="5">
        <f>Table1[[#This Row],[Jan_Projected_Pay]]*0.08</f>
        <v>0</v>
      </c>
      <c r="E80" s="5">
        <f>Table1[[#This Row],[Jan_Projected_Pay]]*0.02</f>
        <v>0</v>
      </c>
      <c r="F80" s="5">
        <v>0</v>
      </c>
      <c r="G80" s="45">
        <v>0</v>
      </c>
      <c r="H80" s="5">
        <f>Table1[[#This Row],[Feb_Projected_Pay]]*0.08</f>
        <v>0</v>
      </c>
      <c r="I80" s="5">
        <f>Table1[[#This Row],[Feb_Projected_Pay]]*0.02</f>
        <v>0</v>
      </c>
      <c r="J80" s="5">
        <v>0</v>
      </c>
      <c r="K80" s="45">
        <v>0</v>
      </c>
      <c r="L80" s="5">
        <f>Table1[[#This Row],[Mar_Projected_Pay]]*0.08</f>
        <v>0</v>
      </c>
      <c r="M80" s="5">
        <f>Table1[[#This Row],[Mar_Projected_Pay]]*0.02</f>
        <v>0</v>
      </c>
      <c r="N80" s="5">
        <v>0</v>
      </c>
      <c r="O80" s="45">
        <v>0</v>
      </c>
      <c r="P80" s="5">
        <f>Table1[[#This Row],[Apr_Projected_Pay]]*0.08</f>
        <v>0</v>
      </c>
      <c r="Q80" s="5">
        <f>Table1[[#This Row],[Apr_Projected_Pay]]*0.02</f>
        <v>0</v>
      </c>
      <c r="R80" s="5">
        <v>0</v>
      </c>
      <c r="S80" s="45">
        <v>0</v>
      </c>
      <c r="T80" s="5">
        <f>Table1[[#This Row],[May_Projected_Pay]]*0.08</f>
        <v>0</v>
      </c>
      <c r="U80" s="5">
        <f>Table1[[#This Row],[May_Projected_Pay]]*0.02</f>
        <v>0</v>
      </c>
      <c r="V80" s="5">
        <v>0</v>
      </c>
      <c r="W80" s="45">
        <v>0</v>
      </c>
      <c r="X80" s="5">
        <f>Table1[[#This Row],[Jun_Projected_Pay]]*0.08</f>
        <v>0</v>
      </c>
      <c r="Y80" s="5">
        <f>Table1[[#This Row],[Jun_Projected_Pay]]*0.02</f>
        <v>0</v>
      </c>
      <c r="Z80" s="5">
        <v>0</v>
      </c>
      <c r="AA80" s="45">
        <v>5000</v>
      </c>
      <c r="AB80" s="5">
        <f>Table1[[#This Row],[Jul_Projected_Pay]]*0.08</f>
        <v>400</v>
      </c>
      <c r="AC80" s="5">
        <f>Table1[[#This Row],[Jul_Projected_Pay]]*0.02</f>
        <v>100</v>
      </c>
      <c r="AD80" s="5">
        <v>650</v>
      </c>
      <c r="AE80" s="45">
        <v>7500</v>
      </c>
      <c r="AF80" s="5">
        <f>Table1[[#This Row],[Aug_Projected_Pay]]*0.08</f>
        <v>600</v>
      </c>
      <c r="AG80" s="5">
        <f>Table1[[#This Row],[Aug_Projected_Pay]]*0.02</f>
        <v>150</v>
      </c>
      <c r="AH80" s="5">
        <v>650</v>
      </c>
      <c r="AI80" s="45">
        <v>25000</v>
      </c>
      <c r="AJ80" s="5">
        <f>Table1[[#This Row],[Sep_Projected_Pay]]*0.08</f>
        <v>2000</v>
      </c>
      <c r="AK80" s="5">
        <f>Table1[[#This Row],[Sep_Projected_Pay]]*0.02</f>
        <v>500</v>
      </c>
      <c r="AL80" s="5">
        <v>650</v>
      </c>
      <c r="AM80" s="45">
        <v>13666.17182953412</v>
      </c>
      <c r="AN80" s="5">
        <f>Table1[[#This Row],[Oct_Projected_Pay]]*0.08</f>
        <v>1093.2937463627295</v>
      </c>
      <c r="AO80" s="5">
        <f>Table1[[#This Row],[Oct_Projected_Pay]]*0.02</f>
        <v>273.32343659068238</v>
      </c>
      <c r="AP80" s="5">
        <v>650</v>
      </c>
      <c r="AQ80" s="45">
        <v>15251.93025620689</v>
      </c>
      <c r="AR80" s="5">
        <f>Table1[[#This Row],[Nov_Projected_Pay]]*0.08</f>
        <v>1220.1544204965512</v>
      </c>
      <c r="AS80" s="5">
        <f>Table1[[#This Row],[Nov_Projected_Pay]]*0.02</f>
        <v>305.0386051241378</v>
      </c>
      <c r="AT80" s="5">
        <v>650</v>
      </c>
      <c r="AU80" s="45">
        <v>12886.188894078179</v>
      </c>
      <c r="AV80" s="5">
        <f>Table1[[#This Row],[Dec_Projected_Pay]]*0.08</f>
        <v>1030.8951115262544</v>
      </c>
      <c r="AW80" s="5">
        <f>Table1[[#This Row],[Dec_Projected_Pay]]*0.02</f>
        <v>257.72377788156359</v>
      </c>
      <c r="AX80" s="5">
        <v>650</v>
      </c>
      <c r="AY80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79304.290979819198</v>
      </c>
      <c r="AZ80" s="59">
        <f>D80+H80+L80+P80+T80+X80+AB80+AF80+AJ80+AN80+AR80+AV80</f>
        <v>6344.3432783855351</v>
      </c>
      <c r="BA80" s="59">
        <f>E80+I80+M80+Q80+U80+Y80+AC80+AG80+AK80+AO80+AS80+AW80</f>
        <v>1586.0858195963838</v>
      </c>
      <c r="BB80" s="59">
        <f>F80+J80+N80+R80+V80+Z80+AD80+AH80+AL80+AP80+AT80+AX80</f>
        <v>3900</v>
      </c>
    </row>
    <row r="81" spans="1:54" x14ac:dyDescent="0.3">
      <c r="A81" t="s">
        <v>162</v>
      </c>
      <c r="B81" t="s">
        <v>216</v>
      </c>
      <c r="C81" s="46">
        <v>0</v>
      </c>
      <c r="D81" s="5">
        <f>Table1[[#This Row],[Jan_Projected_Pay]]*0.08</f>
        <v>0</v>
      </c>
      <c r="E81" s="5">
        <f>Table1[[#This Row],[Jan_Projected_Pay]]*0.02</f>
        <v>0</v>
      </c>
      <c r="F81" s="5">
        <v>0</v>
      </c>
      <c r="G81" s="45">
        <v>0</v>
      </c>
      <c r="H81" s="5">
        <f>Table1[[#This Row],[Feb_Projected_Pay]]*0.08</f>
        <v>0</v>
      </c>
      <c r="I81" s="5">
        <f>Table1[[#This Row],[Feb_Projected_Pay]]*0.02</f>
        <v>0</v>
      </c>
      <c r="J81" s="5">
        <v>0</v>
      </c>
      <c r="K81" s="45">
        <v>0</v>
      </c>
      <c r="L81" s="5">
        <f>Table1[[#This Row],[Mar_Projected_Pay]]*0.08</f>
        <v>0</v>
      </c>
      <c r="M81" s="5">
        <f>Table1[[#This Row],[Mar_Projected_Pay]]*0.02</f>
        <v>0</v>
      </c>
      <c r="N81" s="5">
        <v>0</v>
      </c>
      <c r="O81" s="45">
        <v>0</v>
      </c>
      <c r="P81" s="5">
        <f>Table1[[#This Row],[Apr_Projected_Pay]]*0.08</f>
        <v>0</v>
      </c>
      <c r="Q81" s="5">
        <f>Table1[[#This Row],[Apr_Projected_Pay]]*0.02</f>
        <v>0</v>
      </c>
      <c r="R81" s="5">
        <v>0</v>
      </c>
      <c r="S81" s="45">
        <v>0</v>
      </c>
      <c r="T81" s="5">
        <f>Table1[[#This Row],[May_Projected_Pay]]*0.08</f>
        <v>0</v>
      </c>
      <c r="U81" s="5">
        <f>Table1[[#This Row],[May_Projected_Pay]]*0.02</f>
        <v>0</v>
      </c>
      <c r="V81" s="5">
        <v>0</v>
      </c>
      <c r="W81" s="45">
        <v>0</v>
      </c>
      <c r="X81" s="5">
        <f>Table1[[#This Row],[Jun_Projected_Pay]]*0.08</f>
        <v>0</v>
      </c>
      <c r="Y81" s="5">
        <f>Table1[[#This Row],[Jun_Projected_Pay]]*0.02</f>
        <v>0</v>
      </c>
      <c r="Z81" s="5">
        <v>0</v>
      </c>
      <c r="AA81" s="45">
        <v>5000</v>
      </c>
      <c r="AB81" s="5">
        <f>Table1[[#This Row],[Jul_Projected_Pay]]*0.08</f>
        <v>400</v>
      </c>
      <c r="AC81" s="5">
        <f>Table1[[#This Row],[Jul_Projected_Pay]]*0.02</f>
        <v>100</v>
      </c>
      <c r="AD81" s="5">
        <v>650</v>
      </c>
      <c r="AE81" s="45">
        <v>7500</v>
      </c>
      <c r="AF81" s="5">
        <f>Table1[[#This Row],[Aug_Projected_Pay]]*0.08</f>
        <v>600</v>
      </c>
      <c r="AG81" s="5">
        <f>Table1[[#This Row],[Aug_Projected_Pay]]*0.02</f>
        <v>150</v>
      </c>
      <c r="AH81" s="5">
        <v>650</v>
      </c>
      <c r="AI81" s="45">
        <v>25000</v>
      </c>
      <c r="AJ81" s="5">
        <f>Table1[[#This Row],[Sep_Projected_Pay]]*0.08</f>
        <v>2000</v>
      </c>
      <c r="AK81" s="5">
        <f>Table1[[#This Row],[Sep_Projected_Pay]]*0.02</f>
        <v>500</v>
      </c>
      <c r="AL81" s="5">
        <v>650</v>
      </c>
      <c r="AM81" s="45">
        <v>13029.663100917131</v>
      </c>
      <c r="AN81" s="5">
        <f>Table1[[#This Row],[Oct_Projected_Pay]]*0.08</f>
        <v>1042.3730480733705</v>
      </c>
      <c r="AO81" s="5">
        <f>Table1[[#This Row],[Oct_Projected_Pay]]*0.02</f>
        <v>260.59326201834261</v>
      </c>
      <c r="AP81" s="5">
        <v>650</v>
      </c>
      <c r="AQ81" s="45">
        <v>21078.315016029061</v>
      </c>
      <c r="AR81" s="5">
        <f>Table1[[#This Row],[Nov_Projected_Pay]]*0.08</f>
        <v>1686.2652012823248</v>
      </c>
      <c r="AS81" s="5">
        <f>Table1[[#This Row],[Nov_Projected_Pay]]*0.02</f>
        <v>421.56630032058121</v>
      </c>
      <c r="AT81" s="5">
        <v>650</v>
      </c>
      <c r="AU81" s="45">
        <v>12774.917664955959</v>
      </c>
      <c r="AV81" s="5">
        <f>Table1[[#This Row],[Dec_Projected_Pay]]*0.08</f>
        <v>1021.9934131964768</v>
      </c>
      <c r="AW81" s="5">
        <f>Table1[[#This Row],[Dec_Projected_Pay]]*0.02</f>
        <v>255.4983532991192</v>
      </c>
      <c r="AX81" s="5">
        <v>650</v>
      </c>
      <c r="AY81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84382.89578190216</v>
      </c>
      <c r="AZ81" s="59">
        <f>D81+H81+L81+P81+T81+X81+AB81+AF81+AJ81+AN81+AR81+AV81</f>
        <v>6750.6316625521713</v>
      </c>
      <c r="BA81" s="59">
        <f>E81+I81+M81+Q81+U81+Y81+AC81+AG81+AK81+AO81+AS81+AW81</f>
        <v>1687.6579156380428</v>
      </c>
      <c r="BB81" s="59">
        <f>F81+J81+N81+R81+V81+Z81+AD81+AH81+AL81+AP81+AT81+AX81</f>
        <v>3900</v>
      </c>
    </row>
    <row r="82" spans="1:54" x14ac:dyDescent="0.3">
      <c r="A82" t="s">
        <v>164</v>
      </c>
      <c r="B82" t="s">
        <v>216</v>
      </c>
      <c r="C82" s="46">
        <v>0</v>
      </c>
      <c r="D82" s="5">
        <f>Table1[[#This Row],[Jan_Projected_Pay]]*0.08</f>
        <v>0</v>
      </c>
      <c r="E82" s="5">
        <f>Table1[[#This Row],[Jan_Projected_Pay]]*0.02</f>
        <v>0</v>
      </c>
      <c r="F82" s="5">
        <v>0</v>
      </c>
      <c r="G82" s="45">
        <v>0</v>
      </c>
      <c r="H82" s="5">
        <f>Table1[[#This Row],[Feb_Projected_Pay]]*0.08</f>
        <v>0</v>
      </c>
      <c r="I82" s="5">
        <f>Table1[[#This Row],[Feb_Projected_Pay]]*0.02</f>
        <v>0</v>
      </c>
      <c r="J82" s="5">
        <v>0</v>
      </c>
      <c r="K82" s="45">
        <v>0</v>
      </c>
      <c r="L82" s="5">
        <f>Table1[[#This Row],[Mar_Projected_Pay]]*0.08</f>
        <v>0</v>
      </c>
      <c r="M82" s="5">
        <f>Table1[[#This Row],[Mar_Projected_Pay]]*0.02</f>
        <v>0</v>
      </c>
      <c r="N82" s="5">
        <v>0</v>
      </c>
      <c r="O82" s="45">
        <v>0</v>
      </c>
      <c r="P82" s="5">
        <f>Table1[[#This Row],[Apr_Projected_Pay]]*0.08</f>
        <v>0</v>
      </c>
      <c r="Q82" s="5">
        <f>Table1[[#This Row],[Apr_Projected_Pay]]*0.02</f>
        <v>0</v>
      </c>
      <c r="R82" s="5">
        <v>0</v>
      </c>
      <c r="S82" s="45">
        <v>0</v>
      </c>
      <c r="T82" s="5">
        <f>Table1[[#This Row],[May_Projected_Pay]]*0.08</f>
        <v>0</v>
      </c>
      <c r="U82" s="5">
        <f>Table1[[#This Row],[May_Projected_Pay]]*0.02</f>
        <v>0</v>
      </c>
      <c r="V82" s="5">
        <v>0</v>
      </c>
      <c r="W82" s="45">
        <v>0</v>
      </c>
      <c r="X82" s="5">
        <f>Table1[[#This Row],[Jun_Projected_Pay]]*0.08</f>
        <v>0</v>
      </c>
      <c r="Y82" s="5">
        <f>Table1[[#This Row],[Jun_Projected_Pay]]*0.02</f>
        <v>0</v>
      </c>
      <c r="Z82" s="5">
        <v>0</v>
      </c>
      <c r="AA82" s="45">
        <v>5000</v>
      </c>
      <c r="AB82" s="5">
        <f>Table1[[#This Row],[Jul_Projected_Pay]]*0.08</f>
        <v>400</v>
      </c>
      <c r="AC82" s="5">
        <f>Table1[[#This Row],[Jul_Projected_Pay]]*0.02</f>
        <v>100</v>
      </c>
      <c r="AD82" s="5">
        <v>650</v>
      </c>
      <c r="AE82" s="45">
        <v>7500</v>
      </c>
      <c r="AF82" s="5">
        <f>Table1[[#This Row],[Aug_Projected_Pay]]*0.08</f>
        <v>600</v>
      </c>
      <c r="AG82" s="5">
        <f>Table1[[#This Row],[Aug_Projected_Pay]]*0.02</f>
        <v>150</v>
      </c>
      <c r="AH82" s="5">
        <v>650</v>
      </c>
      <c r="AI82" s="45">
        <v>25000</v>
      </c>
      <c r="AJ82" s="5">
        <f>Table1[[#This Row],[Sep_Projected_Pay]]*0.08</f>
        <v>2000</v>
      </c>
      <c r="AK82" s="5">
        <f>Table1[[#This Row],[Sep_Projected_Pay]]*0.02</f>
        <v>500</v>
      </c>
      <c r="AL82" s="5">
        <v>650</v>
      </c>
      <c r="AM82" s="45">
        <v>18107.654385184189</v>
      </c>
      <c r="AN82" s="5">
        <f>Table1[[#This Row],[Oct_Projected_Pay]]*0.08</f>
        <v>1448.6123508147352</v>
      </c>
      <c r="AO82" s="5">
        <f>Table1[[#This Row],[Oct_Projected_Pay]]*0.02</f>
        <v>362.15308770368381</v>
      </c>
      <c r="AP82" s="5">
        <v>650</v>
      </c>
      <c r="AQ82" s="45">
        <v>18038.027485083519</v>
      </c>
      <c r="AR82" s="5">
        <f>Table1[[#This Row],[Nov_Projected_Pay]]*0.08</f>
        <v>1443.0421988066817</v>
      </c>
      <c r="AS82" s="5">
        <f>Table1[[#This Row],[Nov_Projected_Pay]]*0.02</f>
        <v>360.76054970167041</v>
      </c>
      <c r="AT82" s="5">
        <v>650</v>
      </c>
      <c r="AU82" s="45">
        <v>7627.970868988481</v>
      </c>
      <c r="AV82" s="5">
        <f>Table1[[#This Row],[Dec_Projected_Pay]]*0.08</f>
        <v>610.23766951907851</v>
      </c>
      <c r="AW82" s="5">
        <f>Table1[[#This Row],[Dec_Projected_Pay]]*0.02</f>
        <v>152.55941737976963</v>
      </c>
      <c r="AX82" s="5">
        <v>650</v>
      </c>
      <c r="AY82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81273.652739256184</v>
      </c>
      <c r="AZ82" s="59">
        <f>D82+H82+L82+P82+T82+X82+AB82+AF82+AJ82+AN82+AR82+AV82</f>
        <v>6501.8922191404963</v>
      </c>
      <c r="BA82" s="59">
        <f>E82+I82+M82+Q82+U82+Y82+AC82+AG82+AK82+AO82+AS82+AW82</f>
        <v>1625.4730547851241</v>
      </c>
      <c r="BB82" s="59">
        <f>F82+J82+N82+R82+V82+Z82+AD82+AH82+AL82+AP82+AT82+AX82</f>
        <v>3900</v>
      </c>
    </row>
    <row r="83" spans="1:54" x14ac:dyDescent="0.3">
      <c r="A83" t="s">
        <v>165</v>
      </c>
      <c r="B83" t="s">
        <v>216</v>
      </c>
      <c r="C83" s="46">
        <v>0</v>
      </c>
      <c r="D83" s="5">
        <f>Table1[[#This Row],[Jan_Projected_Pay]]*0.08</f>
        <v>0</v>
      </c>
      <c r="E83" s="5">
        <f>Table1[[#This Row],[Jan_Projected_Pay]]*0.02</f>
        <v>0</v>
      </c>
      <c r="F83" s="5">
        <v>0</v>
      </c>
      <c r="G83" s="45">
        <v>0</v>
      </c>
      <c r="H83" s="5">
        <f>Table1[[#This Row],[Feb_Projected_Pay]]*0.08</f>
        <v>0</v>
      </c>
      <c r="I83" s="5">
        <f>Table1[[#This Row],[Feb_Projected_Pay]]*0.02</f>
        <v>0</v>
      </c>
      <c r="J83" s="5">
        <v>0</v>
      </c>
      <c r="K83" s="45">
        <v>0</v>
      </c>
      <c r="L83" s="5">
        <f>Table1[[#This Row],[Mar_Projected_Pay]]*0.08</f>
        <v>0</v>
      </c>
      <c r="M83" s="5">
        <f>Table1[[#This Row],[Mar_Projected_Pay]]*0.02</f>
        <v>0</v>
      </c>
      <c r="N83" s="5">
        <v>575</v>
      </c>
      <c r="O83" s="45">
        <v>0</v>
      </c>
      <c r="P83" s="5">
        <f>Table1[[#This Row],[Apr_Projected_Pay]]*0.08</f>
        <v>0</v>
      </c>
      <c r="Q83" s="5">
        <f>Table1[[#This Row],[Apr_Projected_Pay]]*0.02</f>
        <v>0</v>
      </c>
      <c r="R83" s="5">
        <v>0</v>
      </c>
      <c r="S83" s="45">
        <v>0</v>
      </c>
      <c r="T83" s="5">
        <f>Table1[[#This Row],[May_Projected_Pay]]*0.08</f>
        <v>0</v>
      </c>
      <c r="U83" s="5">
        <f>Table1[[#This Row],[May_Projected_Pay]]*0.02</f>
        <v>0</v>
      </c>
      <c r="V83" s="5">
        <v>0</v>
      </c>
      <c r="W83" s="45">
        <v>0</v>
      </c>
      <c r="X83" s="5">
        <f>Table1[[#This Row],[Jun_Projected_Pay]]*0.08</f>
        <v>0</v>
      </c>
      <c r="Y83" s="5">
        <f>Table1[[#This Row],[Jun_Projected_Pay]]*0.02</f>
        <v>0</v>
      </c>
      <c r="Z83" s="5">
        <v>0</v>
      </c>
      <c r="AA83" s="45">
        <v>5000</v>
      </c>
      <c r="AB83" s="5">
        <f>Table1[[#This Row],[Jul_Projected_Pay]]*0.08</f>
        <v>400</v>
      </c>
      <c r="AC83" s="5">
        <f>Table1[[#This Row],[Jul_Projected_Pay]]*0.02</f>
        <v>100</v>
      </c>
      <c r="AD83" s="5">
        <v>650</v>
      </c>
      <c r="AE83" s="45">
        <v>7500</v>
      </c>
      <c r="AF83" s="5">
        <f>Table1[[#This Row],[Aug_Projected_Pay]]*0.08</f>
        <v>600</v>
      </c>
      <c r="AG83" s="5">
        <f>Table1[[#This Row],[Aug_Projected_Pay]]*0.02</f>
        <v>150</v>
      </c>
      <c r="AH83" s="5">
        <v>650</v>
      </c>
      <c r="AI83" s="45">
        <v>25000</v>
      </c>
      <c r="AJ83" s="5">
        <f>Table1[[#This Row],[Sep_Projected_Pay]]*0.08</f>
        <v>2000</v>
      </c>
      <c r="AK83" s="5">
        <f>Table1[[#This Row],[Sep_Projected_Pay]]*0.02</f>
        <v>500</v>
      </c>
      <c r="AL83" s="5">
        <v>650</v>
      </c>
      <c r="AM83" s="45">
        <v>14578.11838330952</v>
      </c>
      <c r="AN83" s="5">
        <f>Table1[[#This Row],[Oct_Projected_Pay]]*0.08</f>
        <v>1166.2494706647617</v>
      </c>
      <c r="AO83" s="5">
        <f>Table1[[#This Row],[Oct_Projected_Pay]]*0.02</f>
        <v>291.56236766619043</v>
      </c>
      <c r="AP83" s="5">
        <v>650</v>
      </c>
      <c r="AQ83" s="45">
        <v>11194.693759628801</v>
      </c>
      <c r="AR83" s="5">
        <f>Table1[[#This Row],[Nov_Projected_Pay]]*0.08</f>
        <v>895.57550077030407</v>
      </c>
      <c r="AS83" s="5">
        <f>Table1[[#This Row],[Nov_Projected_Pay]]*0.02</f>
        <v>223.89387519257602</v>
      </c>
      <c r="AT83" s="5">
        <v>650</v>
      </c>
      <c r="AU83" s="45">
        <v>14594.20439165587</v>
      </c>
      <c r="AV83" s="5">
        <f>Table1[[#This Row],[Dec_Projected_Pay]]*0.08</f>
        <v>1167.5363513324696</v>
      </c>
      <c r="AW83" s="5">
        <f>Table1[[#This Row],[Dec_Projected_Pay]]*0.02</f>
        <v>291.88408783311741</v>
      </c>
      <c r="AX83" s="5">
        <v>650</v>
      </c>
      <c r="AY83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77867.016534594193</v>
      </c>
      <c r="AZ83" s="59">
        <f>D83+H83+L83+P83+T83+X83+AB83+AF83+AJ83+AN83+AR83+AV83</f>
        <v>6229.3613227675341</v>
      </c>
      <c r="BA83" s="59">
        <f>E83+I83+M83+Q83+U83+Y83+AC83+AG83+AK83+AO83+AS83+AW83</f>
        <v>1557.3403306918835</v>
      </c>
      <c r="BB83" s="59">
        <f>F83+J83+N83+R83+V83+Z83+AD83+AH83+AL83+AP83+AT83+AX83</f>
        <v>4475</v>
      </c>
    </row>
    <row r="84" spans="1:54" x14ac:dyDescent="0.3">
      <c r="A84" t="s">
        <v>166</v>
      </c>
      <c r="B84" t="s">
        <v>216</v>
      </c>
      <c r="C84" s="46">
        <v>0</v>
      </c>
      <c r="D84" s="5">
        <f>Table1[[#This Row],[Jan_Projected_Pay]]*0.08</f>
        <v>0</v>
      </c>
      <c r="E84" s="5">
        <f>Table1[[#This Row],[Jan_Projected_Pay]]*0.02</f>
        <v>0</v>
      </c>
      <c r="F84" s="5">
        <v>0</v>
      </c>
      <c r="G84" s="45">
        <v>0</v>
      </c>
      <c r="H84" s="5">
        <f>Table1[[#This Row],[Feb_Projected_Pay]]*0.08</f>
        <v>0</v>
      </c>
      <c r="I84" s="5">
        <f>Table1[[#This Row],[Feb_Projected_Pay]]*0.02</f>
        <v>0</v>
      </c>
      <c r="J84" s="5">
        <v>0</v>
      </c>
      <c r="K84" s="45">
        <v>0</v>
      </c>
      <c r="L84" s="5">
        <f>Table1[[#This Row],[Mar_Projected_Pay]]*0.08</f>
        <v>0</v>
      </c>
      <c r="M84" s="5">
        <f>Table1[[#This Row],[Mar_Projected_Pay]]*0.02</f>
        <v>0</v>
      </c>
      <c r="N84" s="5">
        <v>0</v>
      </c>
      <c r="O84" s="45">
        <v>0</v>
      </c>
      <c r="P84" s="5">
        <f>Table1[[#This Row],[Apr_Projected_Pay]]*0.08</f>
        <v>0</v>
      </c>
      <c r="Q84" s="5">
        <f>Table1[[#This Row],[Apr_Projected_Pay]]*0.02</f>
        <v>0</v>
      </c>
      <c r="R84" s="5">
        <v>0</v>
      </c>
      <c r="S84" s="45">
        <v>0</v>
      </c>
      <c r="T84" s="5">
        <f>Table1[[#This Row],[May_Projected_Pay]]*0.08</f>
        <v>0</v>
      </c>
      <c r="U84" s="5">
        <f>Table1[[#This Row],[May_Projected_Pay]]*0.02</f>
        <v>0</v>
      </c>
      <c r="V84" s="5">
        <v>0</v>
      </c>
      <c r="W84" s="45">
        <v>0</v>
      </c>
      <c r="X84" s="5">
        <f>Table1[[#This Row],[Jun_Projected_Pay]]*0.08</f>
        <v>0</v>
      </c>
      <c r="Y84" s="5">
        <f>Table1[[#This Row],[Jun_Projected_Pay]]*0.02</f>
        <v>0</v>
      </c>
      <c r="Z84" s="5">
        <v>0</v>
      </c>
      <c r="AA84" s="45">
        <v>5000</v>
      </c>
      <c r="AB84" s="5">
        <f>Table1[[#This Row],[Jul_Projected_Pay]]*0.08</f>
        <v>400</v>
      </c>
      <c r="AC84" s="5">
        <f>Table1[[#This Row],[Jul_Projected_Pay]]*0.02</f>
        <v>100</v>
      </c>
      <c r="AD84" s="5">
        <v>0</v>
      </c>
      <c r="AE84" s="45">
        <v>7500</v>
      </c>
      <c r="AF84" s="5">
        <f>Table1[[#This Row],[Aug_Projected_Pay]]*0.08</f>
        <v>600</v>
      </c>
      <c r="AG84" s="5">
        <f>Table1[[#This Row],[Aug_Projected_Pay]]*0.02</f>
        <v>150</v>
      </c>
      <c r="AH84" s="5">
        <v>0</v>
      </c>
      <c r="AI84" s="45">
        <v>25000</v>
      </c>
      <c r="AJ84" s="5">
        <f>Table1[[#This Row],[Sep_Projected_Pay]]*0.08</f>
        <v>2000</v>
      </c>
      <c r="AK84" s="5">
        <f>Table1[[#This Row],[Sep_Projected_Pay]]*0.02</f>
        <v>500</v>
      </c>
      <c r="AL84" s="5">
        <v>650</v>
      </c>
      <c r="AM84" s="45">
        <v>21485.89101833681</v>
      </c>
      <c r="AN84" s="5">
        <f>Table1[[#This Row],[Oct_Projected_Pay]]*0.08</f>
        <v>1718.8712814669448</v>
      </c>
      <c r="AO84" s="5">
        <f>Table1[[#This Row],[Oct_Projected_Pay]]*0.02</f>
        <v>429.71782036673619</v>
      </c>
      <c r="AP84" s="5">
        <v>650</v>
      </c>
      <c r="AQ84" s="45">
        <v>17348.672628632321</v>
      </c>
      <c r="AR84" s="5">
        <f>Table1[[#This Row],[Nov_Projected_Pay]]*0.08</f>
        <v>1387.8938102905856</v>
      </c>
      <c r="AS84" s="5">
        <f>Table1[[#This Row],[Nov_Projected_Pay]]*0.02</f>
        <v>346.97345257264641</v>
      </c>
      <c r="AT84" s="5">
        <v>650</v>
      </c>
      <c r="AU84" s="45">
        <v>12941.559677051629</v>
      </c>
      <c r="AV84" s="5">
        <f>Table1[[#This Row],[Dec_Projected_Pay]]*0.08</f>
        <v>1035.3247741641303</v>
      </c>
      <c r="AW84" s="5">
        <f>Table1[[#This Row],[Dec_Projected_Pay]]*0.02</f>
        <v>258.83119354103258</v>
      </c>
      <c r="AX84" s="5">
        <v>650</v>
      </c>
      <c r="AY84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89276.123324020766</v>
      </c>
      <c r="AZ84" s="59">
        <f>D84+H84+L84+P84+T84+X84+AB84+AF84+AJ84+AN84+AR84+AV84</f>
        <v>7142.0898659216618</v>
      </c>
      <c r="BA84" s="59">
        <f>E84+I84+M84+Q84+U84+Y84+AC84+AG84+AK84+AO84+AS84+AW84</f>
        <v>1785.5224664804155</v>
      </c>
      <c r="BB84" s="59">
        <f>F84+J84+N84+R84+V84+Z84+AD84+AH84+AL84+AP84+AT84+AX84</f>
        <v>2600</v>
      </c>
    </row>
    <row r="85" spans="1:54" x14ac:dyDescent="0.3">
      <c r="A85" t="s">
        <v>167</v>
      </c>
      <c r="B85" t="s">
        <v>216</v>
      </c>
      <c r="C85" s="46">
        <v>0</v>
      </c>
      <c r="D85" s="5">
        <f>Table1[[#This Row],[Jan_Projected_Pay]]*0.08</f>
        <v>0</v>
      </c>
      <c r="E85" s="5">
        <f>Table1[[#This Row],[Jan_Projected_Pay]]*0.02</f>
        <v>0</v>
      </c>
      <c r="F85" s="5">
        <v>0</v>
      </c>
      <c r="G85" s="45">
        <v>0</v>
      </c>
      <c r="H85" s="5">
        <f>Table1[[#This Row],[Feb_Projected_Pay]]*0.08</f>
        <v>0</v>
      </c>
      <c r="I85" s="5">
        <f>Table1[[#This Row],[Feb_Projected_Pay]]*0.02</f>
        <v>0</v>
      </c>
      <c r="J85" s="5">
        <v>0</v>
      </c>
      <c r="K85" s="45">
        <v>0</v>
      </c>
      <c r="L85" s="5">
        <f>Table1[[#This Row],[Mar_Projected_Pay]]*0.08</f>
        <v>0</v>
      </c>
      <c r="M85" s="5">
        <f>Table1[[#This Row],[Mar_Projected_Pay]]*0.02</f>
        <v>0</v>
      </c>
      <c r="N85" s="5">
        <v>0</v>
      </c>
      <c r="O85" s="45">
        <v>0</v>
      </c>
      <c r="P85" s="5">
        <f>Table1[[#This Row],[Apr_Projected_Pay]]*0.08</f>
        <v>0</v>
      </c>
      <c r="Q85" s="5">
        <f>Table1[[#This Row],[Apr_Projected_Pay]]*0.02</f>
        <v>0</v>
      </c>
      <c r="R85" s="5">
        <v>0</v>
      </c>
      <c r="S85" s="45">
        <v>0</v>
      </c>
      <c r="T85" s="5">
        <f>Table1[[#This Row],[May_Projected_Pay]]*0.08</f>
        <v>0</v>
      </c>
      <c r="U85" s="5">
        <f>Table1[[#This Row],[May_Projected_Pay]]*0.02</f>
        <v>0</v>
      </c>
      <c r="V85" s="5">
        <v>0</v>
      </c>
      <c r="W85" s="45">
        <v>0</v>
      </c>
      <c r="X85" s="5">
        <f>Table1[[#This Row],[Jun_Projected_Pay]]*0.08</f>
        <v>0</v>
      </c>
      <c r="Y85" s="5">
        <f>Table1[[#This Row],[Jun_Projected_Pay]]*0.02</f>
        <v>0</v>
      </c>
      <c r="Z85" s="5">
        <v>0</v>
      </c>
      <c r="AA85" s="45">
        <v>5000</v>
      </c>
      <c r="AB85" s="5">
        <f>Table1[[#This Row],[Jul_Projected_Pay]]*0.08</f>
        <v>400</v>
      </c>
      <c r="AC85" s="5">
        <f>Table1[[#This Row],[Jul_Projected_Pay]]*0.02</f>
        <v>100</v>
      </c>
      <c r="AD85" s="5">
        <v>0</v>
      </c>
      <c r="AE85" s="45">
        <v>7500</v>
      </c>
      <c r="AF85" s="5">
        <f>Table1[[#This Row],[Aug_Projected_Pay]]*0.08</f>
        <v>600</v>
      </c>
      <c r="AG85" s="5">
        <f>Table1[[#This Row],[Aug_Projected_Pay]]*0.02</f>
        <v>150</v>
      </c>
      <c r="AH85" s="5">
        <v>0</v>
      </c>
      <c r="AI85" s="45">
        <v>25000</v>
      </c>
      <c r="AJ85" s="5">
        <f>Table1[[#This Row],[Sep_Projected_Pay]]*0.08</f>
        <v>2000</v>
      </c>
      <c r="AK85" s="5">
        <f>Table1[[#This Row],[Sep_Projected_Pay]]*0.02</f>
        <v>500</v>
      </c>
      <c r="AL85" s="5">
        <v>650</v>
      </c>
      <c r="AM85" s="45">
        <v>18953.053000661239</v>
      </c>
      <c r="AN85" s="5">
        <f>Table1[[#This Row],[Oct_Projected_Pay]]*0.08</f>
        <v>1516.2442400528992</v>
      </c>
      <c r="AO85" s="5">
        <f>Table1[[#This Row],[Oct_Projected_Pay]]*0.02</f>
        <v>379.06106001322479</v>
      </c>
      <c r="AP85" s="5">
        <v>650</v>
      </c>
      <c r="AQ85" s="45">
        <v>14595.598872583119</v>
      </c>
      <c r="AR85" s="5">
        <f>Table1[[#This Row],[Nov_Projected_Pay]]*0.08</f>
        <v>1167.6479098066495</v>
      </c>
      <c r="AS85" s="5">
        <f>Table1[[#This Row],[Nov_Projected_Pay]]*0.02</f>
        <v>291.91197745166238</v>
      </c>
      <c r="AT85" s="5">
        <v>650</v>
      </c>
      <c r="AU85" s="45">
        <v>7965.0437891663578</v>
      </c>
      <c r="AV85" s="5">
        <f>Table1[[#This Row],[Dec_Projected_Pay]]*0.08</f>
        <v>637.20350313330869</v>
      </c>
      <c r="AW85" s="5">
        <f>Table1[[#This Row],[Dec_Projected_Pay]]*0.02</f>
        <v>159.30087578332717</v>
      </c>
      <c r="AX85" s="5">
        <v>650</v>
      </c>
      <c r="AY85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79013.695662410712</v>
      </c>
      <c r="AZ85" s="59">
        <f>D85+H85+L85+P85+T85+X85+AB85+AF85+AJ85+AN85+AR85+AV85</f>
        <v>6321.0956529928571</v>
      </c>
      <c r="BA85" s="59">
        <f>E85+I85+M85+Q85+U85+Y85+AC85+AG85+AK85+AO85+AS85+AW85</f>
        <v>1580.2739132482143</v>
      </c>
      <c r="BB85" s="59">
        <f>F85+J85+N85+R85+V85+Z85+AD85+AH85+AL85+AP85+AT85+AX85</f>
        <v>2600</v>
      </c>
    </row>
    <row r="86" spans="1:54" x14ac:dyDescent="0.3">
      <c r="A86" t="s">
        <v>168</v>
      </c>
      <c r="B86" t="s">
        <v>216</v>
      </c>
      <c r="C86" s="46">
        <v>0</v>
      </c>
      <c r="D86" s="5">
        <f>Table1[[#This Row],[Jan_Projected_Pay]]*0.08</f>
        <v>0</v>
      </c>
      <c r="E86" s="5">
        <f>Table1[[#This Row],[Jan_Projected_Pay]]*0.02</f>
        <v>0</v>
      </c>
      <c r="F86" s="5">
        <v>0</v>
      </c>
      <c r="G86" s="45">
        <v>0</v>
      </c>
      <c r="H86" s="5">
        <f>Table1[[#This Row],[Feb_Projected_Pay]]*0.08</f>
        <v>0</v>
      </c>
      <c r="I86" s="5">
        <f>Table1[[#This Row],[Feb_Projected_Pay]]*0.02</f>
        <v>0</v>
      </c>
      <c r="J86" s="5">
        <v>0</v>
      </c>
      <c r="K86" s="45">
        <v>0</v>
      </c>
      <c r="L86" s="5">
        <f>Table1[[#This Row],[Mar_Projected_Pay]]*0.08</f>
        <v>0</v>
      </c>
      <c r="M86" s="5">
        <f>Table1[[#This Row],[Mar_Projected_Pay]]*0.02</f>
        <v>0</v>
      </c>
      <c r="N86" s="5">
        <v>575</v>
      </c>
      <c r="O86" s="45">
        <v>0</v>
      </c>
      <c r="P86" s="5">
        <f>Table1[[#This Row],[Apr_Projected_Pay]]*0.08</f>
        <v>0</v>
      </c>
      <c r="Q86" s="5">
        <f>Table1[[#This Row],[Apr_Projected_Pay]]*0.02</f>
        <v>0</v>
      </c>
      <c r="R86" s="5">
        <v>0</v>
      </c>
      <c r="S86" s="45">
        <v>0</v>
      </c>
      <c r="T86" s="5">
        <f>Table1[[#This Row],[May_Projected_Pay]]*0.08</f>
        <v>0</v>
      </c>
      <c r="U86" s="5">
        <f>Table1[[#This Row],[May_Projected_Pay]]*0.02</f>
        <v>0</v>
      </c>
      <c r="V86" s="5">
        <v>0</v>
      </c>
      <c r="W86" s="45">
        <v>0</v>
      </c>
      <c r="X86" s="5">
        <f>Table1[[#This Row],[Jun_Projected_Pay]]*0.08</f>
        <v>0</v>
      </c>
      <c r="Y86" s="5">
        <f>Table1[[#This Row],[Jun_Projected_Pay]]*0.02</f>
        <v>0</v>
      </c>
      <c r="Z86" s="5">
        <v>0</v>
      </c>
      <c r="AA86" s="45">
        <v>5000</v>
      </c>
      <c r="AB86" s="5">
        <f>Table1[[#This Row],[Jul_Projected_Pay]]*0.08</f>
        <v>400</v>
      </c>
      <c r="AC86" s="5">
        <f>Table1[[#This Row],[Jul_Projected_Pay]]*0.02</f>
        <v>100</v>
      </c>
      <c r="AD86" s="5">
        <v>0</v>
      </c>
      <c r="AE86" s="45">
        <v>7500</v>
      </c>
      <c r="AF86" s="5">
        <f>Table1[[#This Row],[Aug_Projected_Pay]]*0.08</f>
        <v>600</v>
      </c>
      <c r="AG86" s="5">
        <f>Table1[[#This Row],[Aug_Projected_Pay]]*0.02</f>
        <v>150</v>
      </c>
      <c r="AH86" s="5">
        <v>0</v>
      </c>
      <c r="AI86" s="45">
        <v>25000</v>
      </c>
      <c r="AJ86" s="5">
        <f>Table1[[#This Row],[Sep_Projected_Pay]]*0.08</f>
        <v>2000</v>
      </c>
      <c r="AK86" s="5">
        <f>Table1[[#This Row],[Sep_Projected_Pay]]*0.02</f>
        <v>500</v>
      </c>
      <c r="AL86" s="5">
        <v>650</v>
      </c>
      <c r="AM86" s="45">
        <v>5000</v>
      </c>
      <c r="AN86" s="5">
        <f>Table1[[#This Row],[Oct_Projected_Pay]]*0.08</f>
        <v>400</v>
      </c>
      <c r="AO86" s="5">
        <f>Table1[[#This Row],[Oct_Projected_Pay]]*0.02</f>
        <v>100</v>
      </c>
      <c r="AP86" s="5">
        <v>650</v>
      </c>
      <c r="AQ86" s="45">
        <v>7500</v>
      </c>
      <c r="AR86" s="5">
        <f>Table1[[#This Row],[Nov_Projected_Pay]]*0.08</f>
        <v>600</v>
      </c>
      <c r="AS86" s="5">
        <f>Table1[[#This Row],[Nov_Projected_Pay]]*0.02</f>
        <v>150</v>
      </c>
      <c r="AT86" s="5">
        <v>650</v>
      </c>
      <c r="AU86" s="45">
        <v>15000</v>
      </c>
      <c r="AV86" s="5">
        <f>Table1[[#This Row],[Dec_Projected_Pay]]*0.08</f>
        <v>1200</v>
      </c>
      <c r="AW86" s="5">
        <f>Table1[[#This Row],[Dec_Projected_Pay]]*0.02</f>
        <v>300</v>
      </c>
      <c r="AX86" s="5">
        <v>650</v>
      </c>
      <c r="AY86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65000</v>
      </c>
      <c r="AZ86" s="59">
        <f>D86+H86+L86+P86+T86+X86+AB86+AF86+AJ86+AN86+AR86+AV86</f>
        <v>5200</v>
      </c>
      <c r="BA86" s="59">
        <f>E86+I86+M86+Q86+U86+Y86+AC86+AG86+AK86+AO86+AS86+AW86</f>
        <v>1300</v>
      </c>
      <c r="BB86" s="59">
        <f>F86+J86+N86+R86+V86+Z86+AD86+AH86+AL86+AP86+AT86+AX86</f>
        <v>3175</v>
      </c>
    </row>
    <row r="87" spans="1:54" x14ac:dyDescent="0.3">
      <c r="A87" t="s">
        <v>169</v>
      </c>
      <c r="B87" t="s">
        <v>216</v>
      </c>
      <c r="C87" s="46">
        <v>0</v>
      </c>
      <c r="D87" s="5">
        <f>Table1[[#This Row],[Jan_Projected_Pay]]*0.08</f>
        <v>0</v>
      </c>
      <c r="E87" s="5">
        <f>Table1[[#This Row],[Jan_Projected_Pay]]*0.02</f>
        <v>0</v>
      </c>
      <c r="F87" s="5">
        <v>0</v>
      </c>
      <c r="G87" s="45">
        <v>0</v>
      </c>
      <c r="H87" s="5">
        <f>Table1[[#This Row],[Feb_Projected_Pay]]*0.08</f>
        <v>0</v>
      </c>
      <c r="I87" s="5">
        <f>Table1[[#This Row],[Feb_Projected_Pay]]*0.02</f>
        <v>0</v>
      </c>
      <c r="J87" s="5">
        <v>0</v>
      </c>
      <c r="K87" s="45">
        <v>0</v>
      </c>
      <c r="L87" s="5">
        <f>Table1[[#This Row],[Mar_Projected_Pay]]*0.08</f>
        <v>0</v>
      </c>
      <c r="M87" s="5">
        <f>Table1[[#This Row],[Mar_Projected_Pay]]*0.02</f>
        <v>0</v>
      </c>
      <c r="N87" s="5">
        <v>0</v>
      </c>
      <c r="O87" s="45">
        <v>0</v>
      </c>
      <c r="P87" s="5">
        <f>Table1[[#This Row],[Apr_Projected_Pay]]*0.08</f>
        <v>0</v>
      </c>
      <c r="Q87" s="5">
        <f>Table1[[#This Row],[Apr_Projected_Pay]]*0.02</f>
        <v>0</v>
      </c>
      <c r="R87" s="5">
        <v>0</v>
      </c>
      <c r="S87" s="45">
        <v>0</v>
      </c>
      <c r="T87" s="5">
        <f>Table1[[#This Row],[May_Projected_Pay]]*0.08</f>
        <v>0</v>
      </c>
      <c r="U87" s="5">
        <f>Table1[[#This Row],[May_Projected_Pay]]*0.02</f>
        <v>0</v>
      </c>
      <c r="V87" s="5">
        <v>0</v>
      </c>
      <c r="W87" s="45">
        <v>0</v>
      </c>
      <c r="X87" s="5">
        <f>Table1[[#This Row],[Jun_Projected_Pay]]*0.08</f>
        <v>0</v>
      </c>
      <c r="Y87" s="5">
        <f>Table1[[#This Row],[Jun_Projected_Pay]]*0.02</f>
        <v>0</v>
      </c>
      <c r="Z87" s="5">
        <v>0</v>
      </c>
      <c r="AA87" s="45">
        <v>5000</v>
      </c>
      <c r="AB87" s="5">
        <f>Table1[[#This Row],[Jul_Projected_Pay]]*0.08</f>
        <v>400</v>
      </c>
      <c r="AC87" s="5">
        <f>Table1[[#This Row],[Jul_Projected_Pay]]*0.02</f>
        <v>100</v>
      </c>
      <c r="AD87" s="5">
        <v>0</v>
      </c>
      <c r="AE87" s="45">
        <v>7500</v>
      </c>
      <c r="AF87" s="5">
        <f>Table1[[#This Row],[Aug_Projected_Pay]]*0.08</f>
        <v>600</v>
      </c>
      <c r="AG87" s="5">
        <f>Table1[[#This Row],[Aug_Projected_Pay]]*0.02</f>
        <v>150</v>
      </c>
      <c r="AH87" s="5">
        <v>0</v>
      </c>
      <c r="AI87" s="45">
        <v>25000</v>
      </c>
      <c r="AJ87" s="5">
        <f>Table1[[#This Row],[Sep_Projected_Pay]]*0.08</f>
        <v>2000</v>
      </c>
      <c r="AK87" s="5">
        <f>Table1[[#This Row],[Sep_Projected_Pay]]*0.02</f>
        <v>500</v>
      </c>
      <c r="AL87" s="5">
        <v>650</v>
      </c>
      <c r="AM87" s="45">
        <v>19149.42116436542</v>
      </c>
      <c r="AN87" s="5">
        <f>Table1[[#This Row],[Oct_Projected_Pay]]*0.08</f>
        <v>1531.9536931492337</v>
      </c>
      <c r="AO87" s="5">
        <f>Table1[[#This Row],[Oct_Projected_Pay]]*0.02</f>
        <v>382.98842328730842</v>
      </c>
      <c r="AP87" s="5">
        <v>650</v>
      </c>
      <c r="AQ87" s="45">
        <v>10162.445868302741</v>
      </c>
      <c r="AR87" s="5">
        <f>Table1[[#This Row],[Nov_Projected_Pay]]*0.08</f>
        <v>812.9956694642193</v>
      </c>
      <c r="AS87" s="5">
        <f>Table1[[#This Row],[Nov_Projected_Pay]]*0.02</f>
        <v>203.24891736605483</v>
      </c>
      <c r="AT87" s="5">
        <v>650</v>
      </c>
      <c r="AU87" s="45">
        <v>13222.08482343079</v>
      </c>
      <c r="AV87" s="5">
        <f>Table1[[#This Row],[Dec_Projected_Pay]]*0.08</f>
        <v>1057.7667858744633</v>
      </c>
      <c r="AW87" s="5">
        <f>Table1[[#This Row],[Dec_Projected_Pay]]*0.02</f>
        <v>264.44169646861582</v>
      </c>
      <c r="AX87" s="5">
        <v>650</v>
      </c>
      <c r="AY87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80033.951856098953</v>
      </c>
      <c r="AZ87" s="59">
        <f>D87+H87+L87+P87+T87+X87+AB87+AF87+AJ87+AN87+AR87+AV87</f>
        <v>6402.7161484879171</v>
      </c>
      <c r="BA87" s="59">
        <f>E87+I87+M87+Q87+U87+Y87+AC87+AG87+AK87+AO87+AS87+AW87</f>
        <v>1600.6790371219793</v>
      </c>
      <c r="BB87" s="59">
        <f>F87+J87+N87+R87+V87+Z87+AD87+AH87+AL87+AP87+AT87+AX87</f>
        <v>2600</v>
      </c>
    </row>
    <row r="88" spans="1:54" x14ac:dyDescent="0.3">
      <c r="A88" t="s">
        <v>170</v>
      </c>
      <c r="B88" t="s">
        <v>216</v>
      </c>
      <c r="C88" s="46">
        <v>0</v>
      </c>
      <c r="D88" s="5">
        <f>Table1[[#This Row],[Jan_Projected_Pay]]*0.08</f>
        <v>0</v>
      </c>
      <c r="E88" s="5">
        <f>Table1[[#This Row],[Jan_Projected_Pay]]*0.02</f>
        <v>0</v>
      </c>
      <c r="F88" s="5">
        <v>0</v>
      </c>
      <c r="G88" s="45">
        <v>0</v>
      </c>
      <c r="H88" s="5">
        <f>Table1[[#This Row],[Feb_Projected_Pay]]*0.08</f>
        <v>0</v>
      </c>
      <c r="I88" s="5">
        <f>Table1[[#This Row],[Feb_Projected_Pay]]*0.02</f>
        <v>0</v>
      </c>
      <c r="J88" s="5">
        <v>0</v>
      </c>
      <c r="K88" s="45">
        <v>0</v>
      </c>
      <c r="L88" s="5">
        <f>Table1[[#This Row],[Mar_Projected_Pay]]*0.08</f>
        <v>0</v>
      </c>
      <c r="M88" s="5">
        <f>Table1[[#This Row],[Mar_Projected_Pay]]*0.02</f>
        <v>0</v>
      </c>
      <c r="N88" s="5">
        <v>0</v>
      </c>
      <c r="O88" s="45">
        <v>0</v>
      </c>
      <c r="P88" s="5">
        <f>Table1[[#This Row],[Apr_Projected_Pay]]*0.08</f>
        <v>0</v>
      </c>
      <c r="Q88" s="5">
        <f>Table1[[#This Row],[Apr_Projected_Pay]]*0.02</f>
        <v>0</v>
      </c>
      <c r="R88" s="5">
        <v>0</v>
      </c>
      <c r="S88" s="45">
        <v>0</v>
      </c>
      <c r="T88" s="5">
        <f>Table1[[#This Row],[May_Projected_Pay]]*0.08</f>
        <v>0</v>
      </c>
      <c r="U88" s="5">
        <f>Table1[[#This Row],[May_Projected_Pay]]*0.02</f>
        <v>0</v>
      </c>
      <c r="V88" s="5">
        <v>0</v>
      </c>
      <c r="W88" s="45">
        <v>0</v>
      </c>
      <c r="X88" s="5">
        <f>Table1[[#This Row],[Jun_Projected_Pay]]*0.08</f>
        <v>0</v>
      </c>
      <c r="Y88" s="5">
        <f>Table1[[#This Row],[Jun_Projected_Pay]]*0.02</f>
        <v>0</v>
      </c>
      <c r="Z88" s="5">
        <v>0</v>
      </c>
      <c r="AA88" s="45">
        <v>0</v>
      </c>
      <c r="AB88" s="5">
        <f>Table1[[#This Row],[Jul_Projected_Pay]]*0.08</f>
        <v>0</v>
      </c>
      <c r="AC88" s="5">
        <f>Table1[[#This Row],[Jul_Projected_Pay]]*0.02</f>
        <v>0</v>
      </c>
      <c r="AD88" s="5">
        <v>0</v>
      </c>
      <c r="AE88" s="45">
        <v>5000</v>
      </c>
      <c r="AF88" s="5">
        <f>Table1[[#This Row],[Aug_Projected_Pay]]*0.08</f>
        <v>400</v>
      </c>
      <c r="AG88" s="5">
        <f>Table1[[#This Row],[Aug_Projected_Pay]]*0.02</f>
        <v>100</v>
      </c>
      <c r="AH88" s="5">
        <v>0</v>
      </c>
      <c r="AI88" s="45">
        <v>7500</v>
      </c>
      <c r="AJ88" s="5">
        <f>Table1[[#This Row],[Sep_Projected_Pay]]*0.08</f>
        <v>600</v>
      </c>
      <c r="AK88" s="5">
        <f>Table1[[#This Row],[Sep_Projected_Pay]]*0.02</f>
        <v>150</v>
      </c>
      <c r="AL88" s="5">
        <v>0</v>
      </c>
      <c r="AM88" s="45">
        <v>25000</v>
      </c>
      <c r="AN88" s="5">
        <f>Table1[[#This Row],[Oct_Projected_Pay]]*0.08</f>
        <v>2000</v>
      </c>
      <c r="AO88" s="5">
        <f>Table1[[#This Row],[Oct_Projected_Pay]]*0.02</f>
        <v>500</v>
      </c>
      <c r="AP88" s="5">
        <v>650</v>
      </c>
      <c r="AQ88" s="45">
        <v>12020.90650091769</v>
      </c>
      <c r="AR88" s="5">
        <f>Table1[[#This Row],[Nov_Projected_Pay]]*0.08</f>
        <v>961.67252007341528</v>
      </c>
      <c r="AS88" s="5">
        <f>Table1[[#This Row],[Nov_Projected_Pay]]*0.02</f>
        <v>240.41813001835382</v>
      </c>
      <c r="AT88" s="5">
        <v>650</v>
      </c>
      <c r="AU88" s="45">
        <v>9496.8910467422338</v>
      </c>
      <c r="AV88" s="5">
        <f>Table1[[#This Row],[Dec_Projected_Pay]]*0.08</f>
        <v>759.75128373937866</v>
      </c>
      <c r="AW88" s="5">
        <f>Table1[[#This Row],[Dec_Projected_Pay]]*0.02</f>
        <v>189.93782093484467</v>
      </c>
      <c r="AX88" s="5">
        <v>650</v>
      </c>
      <c r="AY88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59017.797547659924</v>
      </c>
      <c r="AZ88" s="59">
        <f>D88+H88+L88+P88+T88+X88+AB88+AF88+AJ88+AN88+AR88+AV88</f>
        <v>4721.4238038127942</v>
      </c>
      <c r="BA88" s="59">
        <f>E88+I88+M88+Q88+U88+Y88+AC88+AG88+AK88+AO88+AS88+AW88</f>
        <v>1180.3559509531985</v>
      </c>
      <c r="BB88" s="59">
        <f>F88+J88+N88+R88+V88+Z88+AD88+AH88+AL88+AP88+AT88+AX88</f>
        <v>1950</v>
      </c>
    </row>
    <row r="89" spans="1:54" x14ac:dyDescent="0.3">
      <c r="A89" t="s">
        <v>171</v>
      </c>
      <c r="B89" t="s">
        <v>216</v>
      </c>
      <c r="C89" s="46">
        <v>0</v>
      </c>
      <c r="D89" s="5">
        <f>Table1[[#This Row],[Jan_Projected_Pay]]*0.08</f>
        <v>0</v>
      </c>
      <c r="E89" s="5">
        <f>Table1[[#This Row],[Jan_Projected_Pay]]*0.02</f>
        <v>0</v>
      </c>
      <c r="F89" s="5">
        <v>0</v>
      </c>
      <c r="G89" s="45">
        <v>0</v>
      </c>
      <c r="H89" s="5">
        <f>Table1[[#This Row],[Feb_Projected_Pay]]*0.08</f>
        <v>0</v>
      </c>
      <c r="I89" s="5">
        <f>Table1[[#This Row],[Feb_Projected_Pay]]*0.02</f>
        <v>0</v>
      </c>
      <c r="J89" s="5">
        <v>0</v>
      </c>
      <c r="K89" s="45">
        <v>0</v>
      </c>
      <c r="L89" s="5">
        <f>Table1[[#This Row],[Mar_Projected_Pay]]*0.08</f>
        <v>0</v>
      </c>
      <c r="M89" s="5">
        <f>Table1[[#This Row],[Mar_Projected_Pay]]*0.02</f>
        <v>0</v>
      </c>
      <c r="N89" s="5">
        <v>0</v>
      </c>
      <c r="O89" s="45">
        <v>0</v>
      </c>
      <c r="P89" s="5">
        <f>Table1[[#This Row],[Apr_Projected_Pay]]*0.08</f>
        <v>0</v>
      </c>
      <c r="Q89" s="5">
        <f>Table1[[#This Row],[Apr_Projected_Pay]]*0.02</f>
        <v>0</v>
      </c>
      <c r="R89" s="5">
        <v>0</v>
      </c>
      <c r="S89" s="45">
        <v>0</v>
      </c>
      <c r="T89" s="5">
        <f>Table1[[#This Row],[May_Projected_Pay]]*0.08</f>
        <v>0</v>
      </c>
      <c r="U89" s="5">
        <f>Table1[[#This Row],[May_Projected_Pay]]*0.02</f>
        <v>0</v>
      </c>
      <c r="V89" s="5">
        <v>0</v>
      </c>
      <c r="W89" s="45">
        <v>0</v>
      </c>
      <c r="X89" s="5">
        <f>Table1[[#This Row],[Jun_Projected_Pay]]*0.08</f>
        <v>0</v>
      </c>
      <c r="Y89" s="5">
        <f>Table1[[#This Row],[Jun_Projected_Pay]]*0.02</f>
        <v>0</v>
      </c>
      <c r="Z89" s="5">
        <v>0</v>
      </c>
      <c r="AA89" s="45">
        <v>0</v>
      </c>
      <c r="AB89" s="5">
        <f>Table1[[#This Row],[Jul_Projected_Pay]]*0.08</f>
        <v>0</v>
      </c>
      <c r="AC89" s="5">
        <f>Table1[[#This Row],[Jul_Projected_Pay]]*0.02</f>
        <v>0</v>
      </c>
      <c r="AD89" s="5">
        <v>0</v>
      </c>
      <c r="AE89" s="45">
        <v>5000</v>
      </c>
      <c r="AF89" s="5">
        <f>Table1[[#This Row],[Aug_Projected_Pay]]*0.08</f>
        <v>400</v>
      </c>
      <c r="AG89" s="5">
        <f>Table1[[#This Row],[Aug_Projected_Pay]]*0.02</f>
        <v>100</v>
      </c>
      <c r="AH89" s="5">
        <v>0</v>
      </c>
      <c r="AI89" s="45">
        <v>7500</v>
      </c>
      <c r="AJ89" s="5">
        <f>Table1[[#This Row],[Sep_Projected_Pay]]*0.08</f>
        <v>600</v>
      </c>
      <c r="AK89" s="5">
        <f>Table1[[#This Row],[Sep_Projected_Pay]]*0.02</f>
        <v>150</v>
      </c>
      <c r="AL89" s="5">
        <v>0</v>
      </c>
      <c r="AM89" s="45">
        <v>25000</v>
      </c>
      <c r="AN89" s="5">
        <f>Table1[[#This Row],[Oct_Projected_Pay]]*0.08</f>
        <v>2000</v>
      </c>
      <c r="AO89" s="5">
        <f>Table1[[#This Row],[Oct_Projected_Pay]]*0.02</f>
        <v>500</v>
      </c>
      <c r="AP89" s="5">
        <v>650</v>
      </c>
      <c r="AQ89" s="45">
        <v>22502.715638762769</v>
      </c>
      <c r="AR89" s="5">
        <f>Table1[[#This Row],[Nov_Projected_Pay]]*0.08</f>
        <v>1800.2172511010215</v>
      </c>
      <c r="AS89" s="5">
        <f>Table1[[#This Row],[Nov_Projected_Pay]]*0.02</f>
        <v>450.05431277525537</v>
      </c>
      <c r="AT89" s="5">
        <v>650</v>
      </c>
      <c r="AU89" s="45">
        <v>9702.5957690108353</v>
      </c>
      <c r="AV89" s="5">
        <f>Table1[[#This Row],[Dec_Projected_Pay]]*0.08</f>
        <v>776.20766152086685</v>
      </c>
      <c r="AW89" s="5">
        <f>Table1[[#This Row],[Dec_Projected_Pay]]*0.02</f>
        <v>194.05191538021671</v>
      </c>
      <c r="AX89" s="5">
        <v>650</v>
      </c>
      <c r="AY89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69705.31140777361</v>
      </c>
      <c r="AZ89" s="59">
        <f>D89+H89+L89+P89+T89+X89+AB89+AF89+AJ89+AN89+AR89+AV89</f>
        <v>5576.4249126218883</v>
      </c>
      <c r="BA89" s="59">
        <f>E89+I89+M89+Q89+U89+Y89+AC89+AG89+AK89+AO89+AS89+AW89</f>
        <v>1394.1062281554721</v>
      </c>
      <c r="BB89" s="59">
        <f>F89+J89+N89+R89+V89+Z89+AD89+AH89+AL89+AP89+AT89+AX89</f>
        <v>1950</v>
      </c>
    </row>
    <row r="90" spans="1:54" x14ac:dyDescent="0.3">
      <c r="A90" t="s">
        <v>172</v>
      </c>
      <c r="B90" t="s">
        <v>216</v>
      </c>
      <c r="C90" s="46">
        <v>0</v>
      </c>
      <c r="D90" s="5">
        <f>Table1[[#This Row],[Jan_Projected_Pay]]*0.08</f>
        <v>0</v>
      </c>
      <c r="E90" s="5">
        <f>Table1[[#This Row],[Jan_Projected_Pay]]*0.02</f>
        <v>0</v>
      </c>
      <c r="F90" s="5">
        <v>0</v>
      </c>
      <c r="G90" s="45">
        <v>0</v>
      </c>
      <c r="H90" s="5">
        <f>Table1[[#This Row],[Feb_Projected_Pay]]*0.08</f>
        <v>0</v>
      </c>
      <c r="I90" s="5">
        <f>Table1[[#This Row],[Feb_Projected_Pay]]*0.02</f>
        <v>0</v>
      </c>
      <c r="J90" s="5">
        <v>0</v>
      </c>
      <c r="K90" s="45">
        <v>0</v>
      </c>
      <c r="L90" s="5">
        <f>Table1[[#This Row],[Mar_Projected_Pay]]*0.08</f>
        <v>0</v>
      </c>
      <c r="M90" s="5">
        <f>Table1[[#This Row],[Mar_Projected_Pay]]*0.02</f>
        <v>0</v>
      </c>
      <c r="N90" s="5">
        <v>0</v>
      </c>
      <c r="O90" s="45">
        <v>0</v>
      </c>
      <c r="P90" s="5">
        <f>Table1[[#This Row],[Apr_Projected_Pay]]*0.08</f>
        <v>0</v>
      </c>
      <c r="Q90" s="5">
        <f>Table1[[#This Row],[Apr_Projected_Pay]]*0.02</f>
        <v>0</v>
      </c>
      <c r="R90" s="5">
        <v>0</v>
      </c>
      <c r="S90" s="45">
        <v>0</v>
      </c>
      <c r="T90" s="5">
        <f>Table1[[#This Row],[May_Projected_Pay]]*0.08</f>
        <v>0</v>
      </c>
      <c r="U90" s="5">
        <f>Table1[[#This Row],[May_Projected_Pay]]*0.02</f>
        <v>0</v>
      </c>
      <c r="V90" s="5">
        <v>0</v>
      </c>
      <c r="W90" s="45">
        <v>0</v>
      </c>
      <c r="X90" s="5">
        <f>Table1[[#This Row],[Jun_Projected_Pay]]*0.08</f>
        <v>0</v>
      </c>
      <c r="Y90" s="5">
        <f>Table1[[#This Row],[Jun_Projected_Pay]]*0.02</f>
        <v>0</v>
      </c>
      <c r="Z90" s="5">
        <v>0</v>
      </c>
      <c r="AA90" s="45">
        <v>0</v>
      </c>
      <c r="AB90" s="5">
        <f>Table1[[#This Row],[Jul_Projected_Pay]]*0.08</f>
        <v>0</v>
      </c>
      <c r="AC90" s="5">
        <f>Table1[[#This Row],[Jul_Projected_Pay]]*0.02</f>
        <v>0</v>
      </c>
      <c r="AD90" s="5">
        <v>0</v>
      </c>
      <c r="AE90" s="45">
        <v>5000</v>
      </c>
      <c r="AF90" s="5">
        <f>Table1[[#This Row],[Aug_Projected_Pay]]*0.08</f>
        <v>400</v>
      </c>
      <c r="AG90" s="5">
        <f>Table1[[#This Row],[Aug_Projected_Pay]]*0.02</f>
        <v>100</v>
      </c>
      <c r="AH90" s="5">
        <v>0</v>
      </c>
      <c r="AI90" s="45">
        <v>7500</v>
      </c>
      <c r="AJ90" s="5">
        <f>Table1[[#This Row],[Sep_Projected_Pay]]*0.08</f>
        <v>600</v>
      </c>
      <c r="AK90" s="5">
        <f>Table1[[#This Row],[Sep_Projected_Pay]]*0.02</f>
        <v>150</v>
      </c>
      <c r="AL90" s="5">
        <v>0</v>
      </c>
      <c r="AM90" s="45">
        <v>25000</v>
      </c>
      <c r="AN90" s="5">
        <f>Table1[[#This Row],[Oct_Projected_Pay]]*0.08</f>
        <v>2000</v>
      </c>
      <c r="AO90" s="5">
        <f>Table1[[#This Row],[Oct_Projected_Pay]]*0.02</f>
        <v>500</v>
      </c>
      <c r="AP90" s="5">
        <v>650</v>
      </c>
      <c r="AQ90" s="45">
        <v>17411.19361878273</v>
      </c>
      <c r="AR90" s="5">
        <f>Table1[[#This Row],[Nov_Projected_Pay]]*0.08</f>
        <v>1392.8954895026184</v>
      </c>
      <c r="AS90" s="5">
        <f>Table1[[#This Row],[Nov_Projected_Pay]]*0.02</f>
        <v>348.22387237565459</v>
      </c>
      <c r="AT90" s="5">
        <v>650</v>
      </c>
      <c r="AU90" s="45">
        <v>13690.6805201513</v>
      </c>
      <c r="AV90" s="5">
        <f>Table1[[#This Row],[Dec_Projected_Pay]]*0.08</f>
        <v>1095.2544416121041</v>
      </c>
      <c r="AW90" s="5">
        <f>Table1[[#This Row],[Dec_Projected_Pay]]*0.02</f>
        <v>273.81361040302602</v>
      </c>
      <c r="AX90" s="5">
        <v>650</v>
      </c>
      <c r="AY90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68601.874138934028</v>
      </c>
      <c r="AZ90" s="59">
        <f>D90+H90+L90+P90+T90+X90+AB90+AF90+AJ90+AN90+AR90+AV90</f>
        <v>5488.1499311147218</v>
      </c>
      <c r="BA90" s="59">
        <f>E90+I90+M90+Q90+U90+Y90+AC90+AG90+AK90+AO90+AS90+AW90</f>
        <v>1372.0374827786804</v>
      </c>
      <c r="BB90" s="59">
        <f>F90+J90+N90+R90+V90+Z90+AD90+AH90+AL90+AP90+AT90+AX90</f>
        <v>1950</v>
      </c>
    </row>
    <row r="91" spans="1:54" x14ac:dyDescent="0.3">
      <c r="A91" t="s">
        <v>173</v>
      </c>
      <c r="B91" t="s">
        <v>216</v>
      </c>
      <c r="C91" s="46">
        <v>0</v>
      </c>
      <c r="D91" s="5">
        <f>Table1[[#This Row],[Jan_Projected_Pay]]*0.08</f>
        <v>0</v>
      </c>
      <c r="E91" s="5">
        <f>Table1[[#This Row],[Jan_Projected_Pay]]*0.02</f>
        <v>0</v>
      </c>
      <c r="F91" s="5">
        <v>0</v>
      </c>
      <c r="G91" s="45">
        <v>0</v>
      </c>
      <c r="H91" s="5">
        <f>Table1[[#This Row],[Feb_Projected_Pay]]*0.08</f>
        <v>0</v>
      </c>
      <c r="I91" s="5">
        <f>Table1[[#This Row],[Feb_Projected_Pay]]*0.02</f>
        <v>0</v>
      </c>
      <c r="J91" s="5">
        <v>0</v>
      </c>
      <c r="K91" s="45">
        <v>0</v>
      </c>
      <c r="L91" s="5">
        <f>Table1[[#This Row],[Mar_Projected_Pay]]*0.08</f>
        <v>0</v>
      </c>
      <c r="M91" s="5">
        <f>Table1[[#This Row],[Mar_Projected_Pay]]*0.02</f>
        <v>0</v>
      </c>
      <c r="N91" s="5">
        <v>575</v>
      </c>
      <c r="O91" s="45">
        <v>0</v>
      </c>
      <c r="P91" s="5">
        <f>Table1[[#This Row],[Apr_Projected_Pay]]*0.08</f>
        <v>0</v>
      </c>
      <c r="Q91" s="5">
        <f>Table1[[#This Row],[Apr_Projected_Pay]]*0.02</f>
        <v>0</v>
      </c>
      <c r="R91" s="5">
        <v>0</v>
      </c>
      <c r="S91" s="45">
        <v>0</v>
      </c>
      <c r="T91" s="5">
        <f>Table1[[#This Row],[May_Projected_Pay]]*0.08</f>
        <v>0</v>
      </c>
      <c r="U91" s="5">
        <f>Table1[[#This Row],[May_Projected_Pay]]*0.02</f>
        <v>0</v>
      </c>
      <c r="V91" s="5">
        <v>0</v>
      </c>
      <c r="W91" s="45">
        <v>0</v>
      </c>
      <c r="X91" s="5">
        <f>Table1[[#This Row],[Jun_Projected_Pay]]*0.08</f>
        <v>0</v>
      </c>
      <c r="Y91" s="5">
        <f>Table1[[#This Row],[Jun_Projected_Pay]]*0.02</f>
        <v>0</v>
      </c>
      <c r="Z91" s="5">
        <v>0</v>
      </c>
      <c r="AA91" s="45">
        <v>0</v>
      </c>
      <c r="AB91" s="5">
        <f>Table1[[#This Row],[Jul_Projected_Pay]]*0.08</f>
        <v>0</v>
      </c>
      <c r="AC91" s="5">
        <f>Table1[[#This Row],[Jul_Projected_Pay]]*0.02</f>
        <v>0</v>
      </c>
      <c r="AD91" s="5">
        <v>0</v>
      </c>
      <c r="AE91" s="45">
        <v>5000</v>
      </c>
      <c r="AF91" s="5">
        <f>Table1[[#This Row],[Aug_Projected_Pay]]*0.08</f>
        <v>400</v>
      </c>
      <c r="AG91" s="5">
        <f>Table1[[#This Row],[Aug_Projected_Pay]]*0.02</f>
        <v>100</v>
      </c>
      <c r="AH91" s="5">
        <v>0</v>
      </c>
      <c r="AI91" s="45">
        <v>7500</v>
      </c>
      <c r="AJ91" s="5">
        <f>Table1[[#This Row],[Sep_Projected_Pay]]*0.08</f>
        <v>600</v>
      </c>
      <c r="AK91" s="5">
        <f>Table1[[#This Row],[Sep_Projected_Pay]]*0.02</f>
        <v>150</v>
      </c>
      <c r="AL91" s="5">
        <v>0</v>
      </c>
      <c r="AM91" s="45">
        <v>25000</v>
      </c>
      <c r="AN91" s="5">
        <f>Table1[[#This Row],[Oct_Projected_Pay]]*0.08</f>
        <v>2000</v>
      </c>
      <c r="AO91" s="5">
        <f>Table1[[#This Row],[Oct_Projected_Pay]]*0.02</f>
        <v>500</v>
      </c>
      <c r="AP91" s="5">
        <v>650</v>
      </c>
      <c r="AQ91" s="45">
        <v>10344.023576002621</v>
      </c>
      <c r="AR91" s="5">
        <f>Table1[[#This Row],[Nov_Projected_Pay]]*0.08</f>
        <v>827.5218860802097</v>
      </c>
      <c r="AS91" s="5">
        <f>Table1[[#This Row],[Nov_Projected_Pay]]*0.02</f>
        <v>206.88047152005242</v>
      </c>
      <c r="AT91" s="5">
        <v>650</v>
      </c>
      <c r="AU91" s="45">
        <v>15718.18684900044</v>
      </c>
      <c r="AV91" s="5">
        <f>Table1[[#This Row],[Dec_Projected_Pay]]*0.08</f>
        <v>1257.4549479200352</v>
      </c>
      <c r="AW91" s="5">
        <f>Table1[[#This Row],[Dec_Projected_Pay]]*0.02</f>
        <v>314.36373698000881</v>
      </c>
      <c r="AX91" s="5">
        <v>650</v>
      </c>
      <c r="AY91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63562.210425003061</v>
      </c>
      <c r="AZ91" s="59">
        <f>D91+H91+L91+P91+T91+X91+AB91+AF91+AJ91+AN91+AR91+AV91</f>
        <v>5084.9768340002447</v>
      </c>
      <c r="BA91" s="59">
        <f>E91+I91+M91+Q91+U91+Y91+AC91+AG91+AK91+AO91+AS91+AW91</f>
        <v>1271.2442085000612</v>
      </c>
      <c r="BB91" s="59">
        <f>F91+J91+N91+R91+V91+Z91+AD91+AH91+AL91+AP91+AT91+AX91</f>
        <v>2525</v>
      </c>
    </row>
    <row r="92" spans="1:54" x14ac:dyDescent="0.3">
      <c r="A92" t="s">
        <v>174</v>
      </c>
      <c r="B92" t="s">
        <v>216</v>
      </c>
      <c r="C92" s="46">
        <v>0</v>
      </c>
      <c r="D92" s="5">
        <f>Table1[[#This Row],[Jan_Projected_Pay]]*0.08</f>
        <v>0</v>
      </c>
      <c r="E92" s="5">
        <f>Table1[[#This Row],[Jan_Projected_Pay]]*0.02</f>
        <v>0</v>
      </c>
      <c r="F92" s="5">
        <v>0</v>
      </c>
      <c r="G92" s="45">
        <v>0</v>
      </c>
      <c r="H92" s="5">
        <f>Table1[[#This Row],[Feb_Projected_Pay]]*0.08</f>
        <v>0</v>
      </c>
      <c r="I92" s="5">
        <f>Table1[[#This Row],[Feb_Projected_Pay]]*0.02</f>
        <v>0</v>
      </c>
      <c r="J92" s="5">
        <v>0</v>
      </c>
      <c r="K92" s="45">
        <v>0</v>
      </c>
      <c r="L92" s="5">
        <f>Table1[[#This Row],[Mar_Projected_Pay]]*0.08</f>
        <v>0</v>
      </c>
      <c r="M92" s="5">
        <f>Table1[[#This Row],[Mar_Projected_Pay]]*0.02</f>
        <v>0</v>
      </c>
      <c r="N92" s="5">
        <v>575</v>
      </c>
      <c r="O92" s="45">
        <v>0</v>
      </c>
      <c r="P92" s="5">
        <f>Table1[[#This Row],[Apr_Projected_Pay]]*0.08</f>
        <v>0</v>
      </c>
      <c r="Q92" s="5">
        <f>Table1[[#This Row],[Apr_Projected_Pay]]*0.02</f>
        <v>0</v>
      </c>
      <c r="R92" s="5">
        <v>0</v>
      </c>
      <c r="S92" s="45">
        <v>0</v>
      </c>
      <c r="T92" s="5">
        <f>Table1[[#This Row],[May_Projected_Pay]]*0.08</f>
        <v>0</v>
      </c>
      <c r="U92" s="5">
        <f>Table1[[#This Row],[May_Projected_Pay]]*0.02</f>
        <v>0</v>
      </c>
      <c r="V92" s="5">
        <v>0</v>
      </c>
      <c r="W92" s="45">
        <v>0</v>
      </c>
      <c r="X92" s="5">
        <f>Table1[[#This Row],[Jun_Projected_Pay]]*0.08</f>
        <v>0</v>
      </c>
      <c r="Y92" s="5">
        <f>Table1[[#This Row],[Jun_Projected_Pay]]*0.02</f>
        <v>0</v>
      </c>
      <c r="Z92" s="5">
        <v>0</v>
      </c>
      <c r="AA92" s="45">
        <v>0</v>
      </c>
      <c r="AB92" s="5">
        <f>Table1[[#This Row],[Jul_Projected_Pay]]*0.08</f>
        <v>0</v>
      </c>
      <c r="AC92" s="5">
        <f>Table1[[#This Row],[Jul_Projected_Pay]]*0.02</f>
        <v>0</v>
      </c>
      <c r="AD92" s="5">
        <v>0</v>
      </c>
      <c r="AE92" s="45">
        <v>0</v>
      </c>
      <c r="AF92" s="5">
        <f>Table1[[#This Row],[Aug_Projected_Pay]]*0.08</f>
        <v>0</v>
      </c>
      <c r="AG92" s="5">
        <f>Table1[[#This Row],[Aug_Projected_Pay]]*0.02</f>
        <v>0</v>
      </c>
      <c r="AH92" s="5">
        <v>0</v>
      </c>
      <c r="AI92" s="45">
        <v>7500</v>
      </c>
      <c r="AJ92" s="5">
        <f>Table1[[#This Row],[Sep_Projected_Pay]]*0.08</f>
        <v>600</v>
      </c>
      <c r="AK92" s="5">
        <f>Table1[[#This Row],[Sep_Projected_Pay]]*0.02</f>
        <v>150</v>
      </c>
      <c r="AL92" s="5">
        <v>0</v>
      </c>
      <c r="AM92" s="45">
        <v>25000</v>
      </c>
      <c r="AN92" s="5">
        <f>Table1[[#This Row],[Oct_Projected_Pay]]*0.08</f>
        <v>2000</v>
      </c>
      <c r="AO92" s="5">
        <f>Table1[[#This Row],[Oct_Projected_Pay]]*0.02</f>
        <v>500</v>
      </c>
      <c r="AP92" s="5">
        <v>650</v>
      </c>
      <c r="AQ92" s="45">
        <v>20592.191264823701</v>
      </c>
      <c r="AR92" s="5">
        <f>Table1[[#This Row],[Nov_Projected_Pay]]*0.08</f>
        <v>1647.3753011858962</v>
      </c>
      <c r="AS92" s="5">
        <f>Table1[[#This Row],[Nov_Projected_Pay]]*0.02</f>
        <v>411.84382529647405</v>
      </c>
      <c r="AT92" s="5">
        <v>650</v>
      </c>
      <c r="AU92" s="45">
        <v>15072.72070568028</v>
      </c>
      <c r="AV92" s="5">
        <f>Table1[[#This Row],[Dec_Projected_Pay]]*0.08</f>
        <v>1205.8176564544224</v>
      </c>
      <c r="AW92" s="5">
        <f>Table1[[#This Row],[Dec_Projected_Pay]]*0.02</f>
        <v>301.45441411360559</v>
      </c>
      <c r="AX92" s="5">
        <v>650</v>
      </c>
      <c r="AY92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68164.911970503977</v>
      </c>
      <c r="AZ92" s="59">
        <f>D92+H92+L92+P92+T92+X92+AB92+AF92+AJ92+AN92+AR92+AV92</f>
        <v>5453.1929576403181</v>
      </c>
      <c r="BA92" s="59">
        <f>E92+I92+M92+Q92+U92+Y92+AC92+AG92+AK92+AO92+AS92+AW92</f>
        <v>1363.2982394100795</v>
      </c>
      <c r="BB92" s="59">
        <f>F92+J92+N92+R92+V92+Z92+AD92+AH92+AL92+AP92+AT92+AX92</f>
        <v>2525</v>
      </c>
    </row>
    <row r="93" spans="1:54" x14ac:dyDescent="0.3">
      <c r="A93" t="s">
        <v>175</v>
      </c>
      <c r="B93" t="s">
        <v>216</v>
      </c>
      <c r="C93" s="46">
        <v>0</v>
      </c>
      <c r="D93" s="5">
        <f>Table1[[#This Row],[Jan_Projected_Pay]]*0.08</f>
        <v>0</v>
      </c>
      <c r="E93" s="5">
        <f>Table1[[#This Row],[Jan_Projected_Pay]]*0.02</f>
        <v>0</v>
      </c>
      <c r="F93" s="5">
        <v>0</v>
      </c>
      <c r="G93" s="45">
        <v>0</v>
      </c>
      <c r="H93" s="5">
        <f>Table1[[#This Row],[Feb_Projected_Pay]]*0.08</f>
        <v>0</v>
      </c>
      <c r="I93" s="5">
        <f>Table1[[#This Row],[Feb_Projected_Pay]]*0.02</f>
        <v>0</v>
      </c>
      <c r="J93" s="5">
        <v>0</v>
      </c>
      <c r="K93" s="45">
        <v>0</v>
      </c>
      <c r="L93" s="5">
        <f>Table1[[#This Row],[Mar_Projected_Pay]]*0.08</f>
        <v>0</v>
      </c>
      <c r="M93" s="5">
        <f>Table1[[#This Row],[Mar_Projected_Pay]]*0.02</f>
        <v>0</v>
      </c>
      <c r="N93" s="5">
        <v>0</v>
      </c>
      <c r="O93" s="45">
        <v>0</v>
      </c>
      <c r="P93" s="5">
        <f>Table1[[#This Row],[Apr_Projected_Pay]]*0.08</f>
        <v>0</v>
      </c>
      <c r="Q93" s="5">
        <f>Table1[[#This Row],[Apr_Projected_Pay]]*0.02</f>
        <v>0</v>
      </c>
      <c r="R93" s="5">
        <v>0</v>
      </c>
      <c r="S93" s="45">
        <v>0</v>
      </c>
      <c r="T93" s="5">
        <f>Table1[[#This Row],[May_Projected_Pay]]*0.08</f>
        <v>0</v>
      </c>
      <c r="U93" s="5">
        <f>Table1[[#This Row],[May_Projected_Pay]]*0.02</f>
        <v>0</v>
      </c>
      <c r="V93" s="5">
        <v>0</v>
      </c>
      <c r="W93" s="45">
        <v>0</v>
      </c>
      <c r="X93" s="5">
        <f>Table1[[#This Row],[Jun_Projected_Pay]]*0.08</f>
        <v>0</v>
      </c>
      <c r="Y93" s="5">
        <f>Table1[[#This Row],[Jun_Projected_Pay]]*0.02</f>
        <v>0</v>
      </c>
      <c r="Z93" s="5">
        <v>0</v>
      </c>
      <c r="AA93" s="45">
        <v>0</v>
      </c>
      <c r="AB93" s="5">
        <f>Table1[[#This Row],[Jul_Projected_Pay]]*0.08</f>
        <v>0</v>
      </c>
      <c r="AC93" s="5">
        <f>Table1[[#This Row],[Jul_Projected_Pay]]*0.02</f>
        <v>0</v>
      </c>
      <c r="AD93" s="5">
        <v>0</v>
      </c>
      <c r="AE93" s="45">
        <v>0</v>
      </c>
      <c r="AF93" s="5">
        <f>Table1[[#This Row],[Aug_Projected_Pay]]*0.08</f>
        <v>0</v>
      </c>
      <c r="AG93" s="5">
        <f>Table1[[#This Row],[Aug_Projected_Pay]]*0.02</f>
        <v>0</v>
      </c>
      <c r="AH93" s="5">
        <v>0</v>
      </c>
      <c r="AI93" s="45">
        <v>5000</v>
      </c>
      <c r="AJ93" s="5">
        <f>Table1[[#This Row],[Sep_Projected_Pay]]*0.08</f>
        <v>400</v>
      </c>
      <c r="AK93" s="5">
        <f>Table1[[#This Row],[Sep_Projected_Pay]]*0.02</f>
        <v>100</v>
      </c>
      <c r="AL93" s="5">
        <v>0</v>
      </c>
      <c r="AM93" s="45">
        <v>7500</v>
      </c>
      <c r="AN93" s="5">
        <f>Table1[[#This Row],[Oct_Projected_Pay]]*0.08</f>
        <v>600</v>
      </c>
      <c r="AO93" s="5">
        <f>Table1[[#This Row],[Oct_Projected_Pay]]*0.02</f>
        <v>150</v>
      </c>
      <c r="AP93" s="5">
        <v>650</v>
      </c>
      <c r="AQ93" s="45">
        <v>15044.18679598543</v>
      </c>
      <c r="AR93" s="5">
        <f>Table1[[#This Row],[Nov_Projected_Pay]]*0.08</f>
        <v>1203.5349436788345</v>
      </c>
      <c r="AS93" s="5">
        <f>Table1[[#This Row],[Nov_Projected_Pay]]*0.02</f>
        <v>300.88373591970861</v>
      </c>
      <c r="AT93" s="5">
        <v>650</v>
      </c>
      <c r="AU93" s="45">
        <v>13012.411124142371</v>
      </c>
      <c r="AV93" s="5">
        <f>Table1[[#This Row],[Dec_Projected_Pay]]*0.08</f>
        <v>1040.9928899313898</v>
      </c>
      <c r="AW93" s="5">
        <f>Table1[[#This Row],[Dec_Projected_Pay]]*0.02</f>
        <v>260.24822248284744</v>
      </c>
      <c r="AX93" s="5">
        <v>650</v>
      </c>
      <c r="AY93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40556.597920127802</v>
      </c>
      <c r="AZ93" s="59">
        <f>D93+H93+L93+P93+T93+X93+AB93+AF93+AJ93+AN93+AR93+AV93</f>
        <v>3244.5278336102247</v>
      </c>
      <c r="BA93" s="59">
        <f>E93+I93+M93+Q93+U93+Y93+AC93+AG93+AK93+AO93+AS93+AW93</f>
        <v>811.13195840255617</v>
      </c>
      <c r="BB93" s="59">
        <f>F93+J93+N93+R93+V93+Z93+AD93+AH93+AL93+AP93+AT93+AX93</f>
        <v>1950</v>
      </c>
    </row>
    <row r="94" spans="1:54" x14ac:dyDescent="0.3">
      <c r="A94" t="s">
        <v>176</v>
      </c>
      <c r="B94" t="s">
        <v>216</v>
      </c>
      <c r="C94" s="46">
        <v>0</v>
      </c>
      <c r="D94" s="5">
        <f>Table1[[#This Row],[Jan_Projected_Pay]]*0.08</f>
        <v>0</v>
      </c>
      <c r="E94" s="5">
        <f>Table1[[#This Row],[Jan_Projected_Pay]]*0.02</f>
        <v>0</v>
      </c>
      <c r="F94" s="5">
        <v>0</v>
      </c>
      <c r="G94" s="45">
        <v>0</v>
      </c>
      <c r="H94" s="5">
        <f>Table1[[#This Row],[Feb_Projected_Pay]]*0.08</f>
        <v>0</v>
      </c>
      <c r="I94" s="5">
        <f>Table1[[#This Row],[Feb_Projected_Pay]]*0.02</f>
        <v>0</v>
      </c>
      <c r="J94" s="5">
        <v>0</v>
      </c>
      <c r="K94" s="45">
        <v>0</v>
      </c>
      <c r="L94" s="5">
        <f>Table1[[#This Row],[Mar_Projected_Pay]]*0.08</f>
        <v>0</v>
      </c>
      <c r="M94" s="5">
        <f>Table1[[#This Row],[Mar_Projected_Pay]]*0.02</f>
        <v>0</v>
      </c>
      <c r="N94" s="5">
        <v>0</v>
      </c>
      <c r="O94" s="45">
        <v>0</v>
      </c>
      <c r="P94" s="5">
        <f>Table1[[#This Row],[Apr_Projected_Pay]]*0.08</f>
        <v>0</v>
      </c>
      <c r="Q94" s="5">
        <f>Table1[[#This Row],[Apr_Projected_Pay]]*0.02</f>
        <v>0</v>
      </c>
      <c r="R94" s="5">
        <v>0</v>
      </c>
      <c r="S94" s="45">
        <v>0</v>
      </c>
      <c r="T94" s="5">
        <f>Table1[[#This Row],[May_Projected_Pay]]*0.08</f>
        <v>0</v>
      </c>
      <c r="U94" s="5">
        <f>Table1[[#This Row],[May_Projected_Pay]]*0.02</f>
        <v>0</v>
      </c>
      <c r="V94" s="5">
        <v>0</v>
      </c>
      <c r="W94" s="45">
        <v>0</v>
      </c>
      <c r="X94" s="5">
        <f>Table1[[#This Row],[Jun_Projected_Pay]]*0.08</f>
        <v>0</v>
      </c>
      <c r="Y94" s="5">
        <f>Table1[[#This Row],[Jun_Projected_Pay]]*0.02</f>
        <v>0</v>
      </c>
      <c r="Z94" s="5">
        <v>0</v>
      </c>
      <c r="AA94" s="45">
        <v>0</v>
      </c>
      <c r="AB94" s="5">
        <f>Table1[[#This Row],[Jul_Projected_Pay]]*0.08</f>
        <v>0</v>
      </c>
      <c r="AC94" s="5">
        <f>Table1[[#This Row],[Jul_Projected_Pay]]*0.02</f>
        <v>0</v>
      </c>
      <c r="AD94" s="5">
        <v>0</v>
      </c>
      <c r="AE94" s="45">
        <v>0</v>
      </c>
      <c r="AF94" s="5">
        <f>Table1[[#This Row],[Aug_Projected_Pay]]*0.08</f>
        <v>0</v>
      </c>
      <c r="AG94" s="5">
        <f>Table1[[#This Row],[Aug_Projected_Pay]]*0.02</f>
        <v>0</v>
      </c>
      <c r="AH94" s="5">
        <v>0</v>
      </c>
      <c r="AI94" s="45">
        <v>5000</v>
      </c>
      <c r="AJ94" s="5">
        <f>Table1[[#This Row],[Sep_Projected_Pay]]*0.08</f>
        <v>400</v>
      </c>
      <c r="AK94" s="5">
        <f>Table1[[#This Row],[Sep_Projected_Pay]]*0.02</f>
        <v>100</v>
      </c>
      <c r="AL94" s="5">
        <v>0</v>
      </c>
      <c r="AM94" s="45">
        <v>7500</v>
      </c>
      <c r="AN94" s="5">
        <f>Table1[[#This Row],[Oct_Projected_Pay]]*0.08</f>
        <v>600</v>
      </c>
      <c r="AO94" s="5">
        <f>Table1[[#This Row],[Oct_Projected_Pay]]*0.02</f>
        <v>150</v>
      </c>
      <c r="AP94" s="5">
        <v>650</v>
      </c>
      <c r="AQ94" s="45">
        <v>15044.18679598543</v>
      </c>
      <c r="AR94" s="5">
        <f>Table1[[#This Row],[Nov_Projected_Pay]]*0.08</f>
        <v>1203.5349436788345</v>
      </c>
      <c r="AS94" s="5">
        <f>Table1[[#This Row],[Nov_Projected_Pay]]*0.02</f>
        <v>300.88373591970861</v>
      </c>
      <c r="AT94" s="5">
        <v>650</v>
      </c>
      <c r="AU94" s="45">
        <v>13012.411124142371</v>
      </c>
      <c r="AV94" s="5">
        <f>Table1[[#This Row],[Dec_Projected_Pay]]*0.08</f>
        <v>1040.9928899313898</v>
      </c>
      <c r="AW94" s="5">
        <f>Table1[[#This Row],[Dec_Projected_Pay]]*0.02</f>
        <v>260.24822248284744</v>
      </c>
      <c r="AX94" s="5">
        <v>650</v>
      </c>
      <c r="AY94" s="5">
        <f>C94+G94+K94+O94+S94+W94+AA94+AE94+AI94+AM94+AQ94+AU94</f>
        <v>40556.597920127795</v>
      </c>
      <c r="AZ94" s="59">
        <f>D94+H94+L94+P94+T94+X94+AB94+AF94+AJ94+AN94+AR94+AV94</f>
        <v>3244.5278336102247</v>
      </c>
      <c r="BA94" s="59">
        <f>E94+I94+M94+Q94+U94+Y94+AC94+AG94+AK94+AO94+AS94+AW94</f>
        <v>811.13195840255617</v>
      </c>
      <c r="BB94" s="59">
        <f>F94+J94+N94+R94+V94+Z94+AD94+AH94+AL94+AP94+AT94+AX94</f>
        <v>1950</v>
      </c>
    </row>
    <row r="95" spans="1:54" x14ac:dyDescent="0.3">
      <c r="A95" t="s">
        <v>303</v>
      </c>
      <c r="B95" t="s">
        <v>216</v>
      </c>
      <c r="C95" s="46">
        <v>0</v>
      </c>
      <c r="D95" s="5">
        <f>Table1[[#This Row],[Jan_Projected_Pay]]*0.08</f>
        <v>0</v>
      </c>
      <c r="E95" s="5">
        <f>Table1[[#This Row],[Jan_Projected_Pay]]*0.02</f>
        <v>0</v>
      </c>
      <c r="F95" s="5">
        <v>0</v>
      </c>
      <c r="G95" s="45">
        <v>0</v>
      </c>
      <c r="H95" s="5">
        <f>Table1[[#This Row],[Feb_Projected_Pay]]*0.08</f>
        <v>0</v>
      </c>
      <c r="I95" s="5">
        <f>Table1[[#This Row],[Feb_Projected_Pay]]*0.02</f>
        <v>0</v>
      </c>
      <c r="J95" s="5">
        <v>0</v>
      </c>
      <c r="K95" s="45">
        <v>0</v>
      </c>
      <c r="L95" s="5">
        <f>Table1[[#This Row],[Mar_Projected_Pay]]*0.08</f>
        <v>0</v>
      </c>
      <c r="M95" s="5">
        <f>Table1[[#This Row],[Mar_Projected_Pay]]*0.02</f>
        <v>0</v>
      </c>
      <c r="N95" s="5">
        <v>0</v>
      </c>
      <c r="O95" s="45">
        <v>0</v>
      </c>
      <c r="P95" s="5">
        <f>Table1[[#This Row],[Apr_Projected_Pay]]*0.08</f>
        <v>0</v>
      </c>
      <c r="Q95" s="5">
        <f>Table1[[#This Row],[Apr_Projected_Pay]]*0.02</f>
        <v>0</v>
      </c>
      <c r="R95" s="5">
        <v>0</v>
      </c>
      <c r="S95" s="45">
        <v>0</v>
      </c>
      <c r="T95" s="5">
        <f>Table1[[#This Row],[May_Projected_Pay]]*0.08</f>
        <v>0</v>
      </c>
      <c r="U95" s="5">
        <f>Table1[[#This Row],[May_Projected_Pay]]*0.02</f>
        <v>0</v>
      </c>
      <c r="V95" s="5">
        <v>0</v>
      </c>
      <c r="W95" s="45">
        <v>0</v>
      </c>
      <c r="X95" s="5">
        <f>Table1[[#This Row],[Jun_Projected_Pay]]*0.08</f>
        <v>0</v>
      </c>
      <c r="Y95" s="5">
        <f>Table1[[#This Row],[Jun_Projected_Pay]]*0.02</f>
        <v>0</v>
      </c>
      <c r="Z95" s="5">
        <v>0</v>
      </c>
      <c r="AA95" s="45">
        <v>0</v>
      </c>
      <c r="AB95" s="5">
        <f>Table1[[#This Row],[Jul_Projected_Pay]]*0.08</f>
        <v>0</v>
      </c>
      <c r="AC95" s="5">
        <f>Table1[[#This Row],[Jul_Projected_Pay]]*0.02</f>
        <v>0</v>
      </c>
      <c r="AD95" s="5">
        <v>0</v>
      </c>
      <c r="AE95" s="45">
        <v>0</v>
      </c>
      <c r="AF95" s="5">
        <f>Table1[[#This Row],[Aug_Projected_Pay]]*0.08</f>
        <v>0</v>
      </c>
      <c r="AG95" s="5">
        <f>Table1[[#This Row],[Aug_Projected_Pay]]*0.02</f>
        <v>0</v>
      </c>
      <c r="AH95" s="5">
        <v>0</v>
      </c>
      <c r="AI95" s="45">
        <v>5000</v>
      </c>
      <c r="AJ95" s="5">
        <f>Table1[[#This Row],[Sep_Projected_Pay]]*0.08</f>
        <v>400</v>
      </c>
      <c r="AK95" s="5">
        <f>Table1[[#This Row],[Sep_Projected_Pay]]*0.02</f>
        <v>100</v>
      </c>
      <c r="AL95" s="5">
        <v>0</v>
      </c>
      <c r="AM95" s="45">
        <v>7500</v>
      </c>
      <c r="AN95" s="5">
        <f>Table1[[#This Row],[Oct_Projected_Pay]]*0.08</f>
        <v>600</v>
      </c>
      <c r="AO95" s="5">
        <f>Table1[[#This Row],[Oct_Projected_Pay]]*0.02</f>
        <v>150</v>
      </c>
      <c r="AP95" s="5">
        <v>650</v>
      </c>
      <c r="AQ95" s="45">
        <v>15044.18679598543</v>
      </c>
      <c r="AR95" s="5">
        <f>Table1[[#This Row],[Nov_Projected_Pay]]*0.08</f>
        <v>1203.5349436788345</v>
      </c>
      <c r="AS95" s="5">
        <f>Table1[[#This Row],[Nov_Projected_Pay]]*0.02</f>
        <v>300.88373591970861</v>
      </c>
      <c r="AT95" s="5">
        <v>650</v>
      </c>
      <c r="AU95" s="45">
        <v>13012.411124142371</v>
      </c>
      <c r="AV95" s="5">
        <f>Table1[[#This Row],[Dec_Projected_Pay]]*0.08</f>
        <v>1040.9928899313898</v>
      </c>
      <c r="AW95" s="5">
        <f>Table1[[#This Row],[Dec_Projected_Pay]]*0.02</f>
        <v>260.24822248284744</v>
      </c>
      <c r="AX95" s="5">
        <v>650</v>
      </c>
      <c r="AY95" s="5">
        <f>C95+G95+K95+O95+S95+W95+AA95+AE95+AI95+AM95+AQ95+AU95</f>
        <v>40556.597920127795</v>
      </c>
      <c r="AZ95" s="59">
        <f>D95+H95+L95+P95+T95+X95+AB95+AF95+AJ95+AN95+AR95+AV95</f>
        <v>3244.5278336102247</v>
      </c>
      <c r="BA95" s="59">
        <f>E95+I95+M95+Q95+U95+Y95+AC95+AG95+AK95+AO95+AS95+AW95</f>
        <v>811.13195840255617</v>
      </c>
      <c r="BB95" s="59">
        <f>F95+J95+N95+R95+V95+Z95+AD95+AH95+AL95+AP95+AT95+AX95</f>
        <v>1950</v>
      </c>
    </row>
    <row r="96" spans="1:54" x14ac:dyDescent="0.3">
      <c r="A96" t="s">
        <v>304</v>
      </c>
      <c r="B96" t="s">
        <v>216</v>
      </c>
      <c r="C96" s="46">
        <v>0</v>
      </c>
      <c r="D96" s="5">
        <f>Table1[[#This Row],[Jan_Projected_Pay]]*0.08</f>
        <v>0</v>
      </c>
      <c r="E96" s="5">
        <f>Table1[[#This Row],[Jan_Projected_Pay]]*0.02</f>
        <v>0</v>
      </c>
      <c r="F96" s="5">
        <v>0</v>
      </c>
      <c r="G96" s="45">
        <v>0</v>
      </c>
      <c r="H96" s="5">
        <f>Table1[[#This Row],[Feb_Projected_Pay]]*0.08</f>
        <v>0</v>
      </c>
      <c r="I96" s="5">
        <f>Table1[[#This Row],[Feb_Projected_Pay]]*0.02</f>
        <v>0</v>
      </c>
      <c r="J96" s="5">
        <v>0</v>
      </c>
      <c r="K96" s="45">
        <v>0</v>
      </c>
      <c r="L96" s="5">
        <f>Table1[[#This Row],[Mar_Projected_Pay]]*0.08</f>
        <v>0</v>
      </c>
      <c r="M96" s="5">
        <f>Table1[[#This Row],[Mar_Projected_Pay]]*0.02</f>
        <v>0</v>
      </c>
      <c r="N96" s="5">
        <v>0</v>
      </c>
      <c r="O96" s="45">
        <v>0</v>
      </c>
      <c r="P96" s="5">
        <f>Table1[[#This Row],[Apr_Projected_Pay]]*0.08</f>
        <v>0</v>
      </c>
      <c r="Q96" s="5">
        <f>Table1[[#This Row],[Apr_Projected_Pay]]*0.02</f>
        <v>0</v>
      </c>
      <c r="R96" s="5">
        <v>0</v>
      </c>
      <c r="S96" s="45">
        <v>0</v>
      </c>
      <c r="T96" s="5">
        <f>Table1[[#This Row],[May_Projected_Pay]]*0.08</f>
        <v>0</v>
      </c>
      <c r="U96" s="5">
        <f>Table1[[#This Row],[May_Projected_Pay]]*0.02</f>
        <v>0</v>
      </c>
      <c r="V96" s="5">
        <v>0</v>
      </c>
      <c r="W96" s="45">
        <v>0</v>
      </c>
      <c r="X96" s="5">
        <f>Table1[[#This Row],[Jun_Projected_Pay]]*0.08</f>
        <v>0</v>
      </c>
      <c r="Y96" s="5">
        <f>Table1[[#This Row],[Jun_Projected_Pay]]*0.02</f>
        <v>0</v>
      </c>
      <c r="Z96" s="5">
        <v>0</v>
      </c>
      <c r="AA96" s="45">
        <v>0</v>
      </c>
      <c r="AB96" s="5">
        <f>Table1[[#This Row],[Jul_Projected_Pay]]*0.08</f>
        <v>0</v>
      </c>
      <c r="AC96" s="5">
        <f>Table1[[#This Row],[Jul_Projected_Pay]]*0.02</f>
        <v>0</v>
      </c>
      <c r="AD96" s="5">
        <v>0</v>
      </c>
      <c r="AE96" s="45">
        <v>0</v>
      </c>
      <c r="AF96" s="5">
        <f>Table1[[#This Row],[Aug_Projected_Pay]]*0.08</f>
        <v>0</v>
      </c>
      <c r="AG96" s="5">
        <f>Table1[[#This Row],[Aug_Projected_Pay]]*0.02</f>
        <v>0</v>
      </c>
      <c r="AH96" s="5">
        <v>0</v>
      </c>
      <c r="AI96" s="45">
        <v>5000</v>
      </c>
      <c r="AJ96" s="5">
        <f>Table1[[#This Row],[Sep_Projected_Pay]]*0.08</f>
        <v>400</v>
      </c>
      <c r="AK96" s="5">
        <f>Table1[[#This Row],[Sep_Projected_Pay]]*0.02</f>
        <v>100</v>
      </c>
      <c r="AL96" s="5">
        <v>0</v>
      </c>
      <c r="AM96" s="45">
        <v>7500</v>
      </c>
      <c r="AN96" s="5">
        <f>Table1[[#This Row],[Oct_Projected_Pay]]*0.08</f>
        <v>600</v>
      </c>
      <c r="AO96" s="5">
        <f>Table1[[#This Row],[Oct_Projected_Pay]]*0.02</f>
        <v>150</v>
      </c>
      <c r="AP96" s="5">
        <v>0</v>
      </c>
      <c r="AQ96" s="45">
        <v>15044.18679598543</v>
      </c>
      <c r="AR96" s="5">
        <f>Table1[[#This Row],[Nov_Projected_Pay]]*0.08</f>
        <v>1203.5349436788345</v>
      </c>
      <c r="AS96" s="5">
        <f>Table1[[#This Row],[Nov_Projected_Pay]]*0.02</f>
        <v>300.88373591970861</v>
      </c>
      <c r="AT96" s="5">
        <v>650</v>
      </c>
      <c r="AU96" s="45">
        <v>13012.411124142371</v>
      </c>
      <c r="AV96" s="5">
        <f>Table1[[#This Row],[Dec_Projected_Pay]]*0.08</f>
        <v>1040.9928899313898</v>
      </c>
      <c r="AW96" s="5">
        <f>Table1[[#This Row],[Dec_Projected_Pay]]*0.02</f>
        <v>260.24822248284744</v>
      </c>
      <c r="AX96" s="5">
        <v>650</v>
      </c>
      <c r="AY96" s="5">
        <f>C96+G96+K96+O96+S96+W96+AA96+AE96+AI96+AM96+AQ96+AU96</f>
        <v>40556.597920127795</v>
      </c>
      <c r="AZ96" s="59">
        <f>D96+H96+L96+P96+T96+X96+AB96+AF96+AJ96+AN96+AR96+AV96</f>
        <v>3244.5278336102247</v>
      </c>
      <c r="BA96" s="59">
        <f>E96+I96+M96+Q96+U96+Y96+AC96+AG96+AK96+AO96+AS96+AW96</f>
        <v>811.13195840255617</v>
      </c>
      <c r="BB96" s="59">
        <f>F96+J96+N96+R96+V96+Z96+AD96+AH96+AL96+AP96+AT96+AX96</f>
        <v>1300</v>
      </c>
    </row>
    <row r="97" spans="1:54" x14ac:dyDescent="0.3">
      <c r="A97" t="s">
        <v>305</v>
      </c>
      <c r="B97" t="s">
        <v>216</v>
      </c>
      <c r="C97" s="46">
        <v>0</v>
      </c>
      <c r="D97" s="5">
        <f>Table1[[#This Row],[Jan_Projected_Pay]]*0.08</f>
        <v>0</v>
      </c>
      <c r="E97" s="5">
        <f>Table1[[#This Row],[Jan_Projected_Pay]]*0.02</f>
        <v>0</v>
      </c>
      <c r="F97" s="5">
        <v>0</v>
      </c>
      <c r="G97" s="45">
        <v>0</v>
      </c>
      <c r="H97" s="5">
        <f>Table1[[#This Row],[Feb_Projected_Pay]]*0.08</f>
        <v>0</v>
      </c>
      <c r="I97" s="5">
        <f>Table1[[#This Row],[Feb_Projected_Pay]]*0.02</f>
        <v>0</v>
      </c>
      <c r="J97" s="5">
        <v>0</v>
      </c>
      <c r="K97" s="45">
        <v>0</v>
      </c>
      <c r="L97" s="5">
        <f>Table1[[#This Row],[Mar_Projected_Pay]]*0.08</f>
        <v>0</v>
      </c>
      <c r="M97" s="5">
        <f>Table1[[#This Row],[Mar_Projected_Pay]]*0.02</f>
        <v>0</v>
      </c>
      <c r="N97" s="5">
        <v>0</v>
      </c>
      <c r="O97" s="45">
        <v>0</v>
      </c>
      <c r="P97" s="5">
        <f>Table1[[#This Row],[Apr_Projected_Pay]]*0.08</f>
        <v>0</v>
      </c>
      <c r="Q97" s="5">
        <f>Table1[[#This Row],[Apr_Projected_Pay]]*0.02</f>
        <v>0</v>
      </c>
      <c r="R97" s="5">
        <v>0</v>
      </c>
      <c r="S97" s="45">
        <v>0</v>
      </c>
      <c r="T97" s="5">
        <f>Table1[[#This Row],[May_Projected_Pay]]*0.08</f>
        <v>0</v>
      </c>
      <c r="U97" s="5">
        <f>Table1[[#This Row],[May_Projected_Pay]]*0.02</f>
        <v>0</v>
      </c>
      <c r="V97" s="5">
        <v>0</v>
      </c>
      <c r="W97" s="46">
        <v>0</v>
      </c>
      <c r="X97" s="5">
        <f>Table1[[#This Row],[Jun_Projected_Pay]]*0.08</f>
        <v>0</v>
      </c>
      <c r="Y97" s="5">
        <f>Table1[[#This Row],[Jun_Projected_Pay]]*0.02</f>
        <v>0</v>
      </c>
      <c r="Z97" s="5">
        <v>0</v>
      </c>
      <c r="AA97" s="45">
        <v>0</v>
      </c>
      <c r="AB97" s="5">
        <f>Table1[[#This Row],[Jul_Projected_Pay]]*0.08</f>
        <v>0</v>
      </c>
      <c r="AC97" s="5">
        <f>Table1[[#This Row],[Jul_Projected_Pay]]*0.02</f>
        <v>0</v>
      </c>
      <c r="AD97" s="5">
        <v>0</v>
      </c>
      <c r="AE97" s="45">
        <v>0</v>
      </c>
      <c r="AF97" s="5">
        <f>Table1[[#This Row],[Aug_Projected_Pay]]*0.08</f>
        <v>0</v>
      </c>
      <c r="AG97" s="5">
        <f>Table1[[#This Row],[Aug_Projected_Pay]]*0.02</f>
        <v>0</v>
      </c>
      <c r="AH97" s="5">
        <v>0</v>
      </c>
      <c r="AI97" s="45">
        <v>200</v>
      </c>
      <c r="AJ97" s="5">
        <f>Table1[[#This Row],[Sep_Projected_Pay]]*0.08</f>
        <v>16</v>
      </c>
      <c r="AK97" s="5">
        <f>Table1[[#This Row],[Sep_Projected_Pay]]*0.02</f>
        <v>4</v>
      </c>
      <c r="AL97" s="5">
        <v>0</v>
      </c>
      <c r="AM97" s="45">
        <v>7500</v>
      </c>
      <c r="AN97" s="5">
        <f>Table1[[#This Row],[Oct_Projected_Pay]]*0.08</f>
        <v>600</v>
      </c>
      <c r="AO97" s="5">
        <f>Table1[[#This Row],[Oct_Projected_Pay]]*0.02</f>
        <v>150</v>
      </c>
      <c r="AP97" s="5">
        <v>0</v>
      </c>
      <c r="AQ97" s="45">
        <v>15044.18679598543</v>
      </c>
      <c r="AR97" s="5">
        <f>Table1[[#This Row],[Nov_Projected_Pay]]*0.08</f>
        <v>1203.5349436788345</v>
      </c>
      <c r="AS97" s="5">
        <f>Table1[[#This Row],[Nov_Projected_Pay]]*0.02</f>
        <v>300.88373591970861</v>
      </c>
      <c r="AT97" s="5">
        <v>650</v>
      </c>
      <c r="AU97" s="45">
        <v>13012.411124142371</v>
      </c>
      <c r="AV97" s="5">
        <f>Table1[[#This Row],[Dec_Projected_Pay]]*0.08</f>
        <v>1040.9928899313898</v>
      </c>
      <c r="AW97" s="5">
        <f>Table1[[#This Row],[Dec_Projected_Pay]]*0.02</f>
        <v>260.24822248284744</v>
      </c>
      <c r="AX97" s="5">
        <v>650</v>
      </c>
      <c r="AY97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35756.597920127802</v>
      </c>
      <c r="AZ97" s="59">
        <f>D97+H97+L97+P97+T97+X97+AB97+AF97+AJ97+AN97+AR97+AV97</f>
        <v>2860.5278336102242</v>
      </c>
      <c r="BA97" s="59">
        <f>E97+I97+M97+Q97+U97+Y97+AC97+AG97+AK97+AO97+AS97+AW97</f>
        <v>715.13195840255605</v>
      </c>
      <c r="BB97" s="59">
        <f>F97+J97+N97+R97+V97+Z97+AD97+AH97+AL97+AP97+AT97+AX97</f>
        <v>1300</v>
      </c>
    </row>
    <row r="98" spans="1:54" x14ac:dyDescent="0.3">
      <c r="A98" t="s">
        <v>306</v>
      </c>
      <c r="B98" t="s">
        <v>216</v>
      </c>
      <c r="C98" s="46">
        <v>0</v>
      </c>
      <c r="D98" s="5">
        <f>Table1[[#This Row],[Jan_Projected_Pay]]*0.08</f>
        <v>0</v>
      </c>
      <c r="E98" s="5">
        <f>Table1[[#This Row],[Jan_Projected_Pay]]*0.02</f>
        <v>0</v>
      </c>
      <c r="F98" s="5">
        <v>0</v>
      </c>
      <c r="G98" s="45">
        <v>0</v>
      </c>
      <c r="H98" s="5">
        <f>Table1[[#This Row],[Feb_Projected_Pay]]*0.08</f>
        <v>0</v>
      </c>
      <c r="I98" s="5">
        <f>Table1[[#This Row],[Feb_Projected_Pay]]*0.02</f>
        <v>0</v>
      </c>
      <c r="J98" s="5">
        <v>0</v>
      </c>
      <c r="K98" s="45">
        <v>0</v>
      </c>
      <c r="L98" s="5">
        <f>Table1[[#This Row],[Mar_Projected_Pay]]*0.08</f>
        <v>0</v>
      </c>
      <c r="M98" s="5">
        <f>Table1[[#This Row],[Mar_Projected_Pay]]*0.02</f>
        <v>0</v>
      </c>
      <c r="N98" s="5">
        <v>0</v>
      </c>
      <c r="O98" s="45">
        <v>0</v>
      </c>
      <c r="P98" s="5">
        <f>Table1[[#This Row],[Apr_Projected_Pay]]*0.08</f>
        <v>0</v>
      </c>
      <c r="Q98" s="5">
        <f>Table1[[#This Row],[Apr_Projected_Pay]]*0.02</f>
        <v>0</v>
      </c>
      <c r="R98" s="5">
        <v>0</v>
      </c>
      <c r="S98" s="45">
        <v>0</v>
      </c>
      <c r="T98" s="5">
        <f>Table1[[#This Row],[May_Projected_Pay]]*0.08</f>
        <v>0</v>
      </c>
      <c r="U98" s="5">
        <f>Table1[[#This Row],[May_Projected_Pay]]*0.02</f>
        <v>0</v>
      </c>
      <c r="V98" s="5">
        <v>0</v>
      </c>
      <c r="W98" s="46">
        <v>0</v>
      </c>
      <c r="X98" s="5">
        <f>Table1[[#This Row],[Jun_Projected_Pay]]*0.08</f>
        <v>0</v>
      </c>
      <c r="Y98" s="5">
        <f>Table1[[#This Row],[Jun_Projected_Pay]]*0.02</f>
        <v>0</v>
      </c>
      <c r="Z98" s="5">
        <v>0</v>
      </c>
      <c r="AA98" s="46">
        <v>0</v>
      </c>
      <c r="AB98" s="5">
        <f>Table1[[#This Row],[Jul_Projected_Pay]]*0.08</f>
        <v>0</v>
      </c>
      <c r="AC98" s="5">
        <f>Table1[[#This Row],[Jul_Projected_Pay]]*0.02</f>
        <v>0</v>
      </c>
      <c r="AD98" s="5">
        <v>0</v>
      </c>
      <c r="AE98" s="45">
        <v>0</v>
      </c>
      <c r="AF98" s="5">
        <f>Table1[[#This Row],[Aug_Projected_Pay]]*0.08</f>
        <v>0</v>
      </c>
      <c r="AG98" s="5">
        <f>Table1[[#This Row],[Aug_Projected_Pay]]*0.02</f>
        <v>0</v>
      </c>
      <c r="AH98" s="5">
        <v>0</v>
      </c>
      <c r="AI98" s="45">
        <v>5000</v>
      </c>
      <c r="AJ98" s="5">
        <f>Table1[[#This Row],[Sep_Projected_Pay]]*0.08</f>
        <v>400</v>
      </c>
      <c r="AK98" s="5">
        <f>Table1[[#This Row],[Sep_Projected_Pay]]*0.02</f>
        <v>100</v>
      </c>
      <c r="AL98" s="5">
        <v>0</v>
      </c>
      <c r="AM98" s="45">
        <v>7500</v>
      </c>
      <c r="AN98" s="5">
        <f>Table1[[#This Row],[Oct_Projected_Pay]]*0.08</f>
        <v>600</v>
      </c>
      <c r="AO98" s="5">
        <f>Table1[[#This Row],[Oct_Projected_Pay]]*0.02</f>
        <v>150</v>
      </c>
      <c r="AP98" s="5">
        <v>0</v>
      </c>
      <c r="AQ98" s="45">
        <v>15044.18679598543</v>
      </c>
      <c r="AR98" s="5">
        <f>Table1[[#This Row],[Nov_Projected_Pay]]*0.08</f>
        <v>1203.5349436788345</v>
      </c>
      <c r="AS98" s="5">
        <f>Table1[[#This Row],[Nov_Projected_Pay]]*0.02</f>
        <v>300.88373591970861</v>
      </c>
      <c r="AT98" s="5">
        <v>0</v>
      </c>
      <c r="AU98" s="45">
        <v>13012.411124142371</v>
      </c>
      <c r="AV98" s="5">
        <f>Table1[[#This Row],[Dec_Projected_Pay]]*0.08</f>
        <v>1040.9928899313898</v>
      </c>
      <c r="AW98" s="5">
        <f>Table1[[#This Row],[Dec_Projected_Pay]]*0.02</f>
        <v>260.24822248284744</v>
      </c>
      <c r="AX98" s="5">
        <v>650</v>
      </c>
      <c r="AY98" s="5">
        <f>C98+G98+K98+O98+S98+W98+AA98+AE98+AI98+AM98+AQ98+AU98</f>
        <v>40556.597920127795</v>
      </c>
      <c r="AZ98" s="59">
        <f>D98+H98+L98+P98+T98+X98+AB98+AF98+AJ98+AN98+AR98+AV98</f>
        <v>3244.5278336102247</v>
      </c>
      <c r="BA98" s="59">
        <f>E98+I98+M98+Q98+U98+Y98+AC98+AG98+AK98+AO98+AS98+AW98</f>
        <v>811.13195840255617</v>
      </c>
      <c r="BB98" s="59">
        <f>F98+J98+N98+R98+V98+Z98+AD98+AH98+AL98+AP98+AT98+AX98</f>
        <v>650</v>
      </c>
    </row>
    <row r="99" spans="1:54" x14ac:dyDescent="0.3">
      <c r="A99" t="s">
        <v>307</v>
      </c>
      <c r="B99" t="s">
        <v>216</v>
      </c>
      <c r="C99" s="46">
        <v>0</v>
      </c>
      <c r="D99" s="5">
        <f>Table1[[#This Row],[Jan_Projected_Pay]]*0.08</f>
        <v>0</v>
      </c>
      <c r="E99" s="5">
        <f>Table1[[#This Row],[Jan_Projected_Pay]]*0.02</f>
        <v>0</v>
      </c>
      <c r="F99" s="5">
        <v>0</v>
      </c>
      <c r="G99" s="45">
        <v>0</v>
      </c>
      <c r="H99" s="5">
        <f>Table1[[#This Row],[Feb_Projected_Pay]]*0.08</f>
        <v>0</v>
      </c>
      <c r="I99" s="5">
        <f>Table1[[#This Row],[Feb_Projected_Pay]]*0.02</f>
        <v>0</v>
      </c>
      <c r="J99" s="5">
        <v>0</v>
      </c>
      <c r="K99" s="45">
        <v>0</v>
      </c>
      <c r="L99" s="5">
        <f>Table1[[#This Row],[Mar_Projected_Pay]]*0.08</f>
        <v>0</v>
      </c>
      <c r="M99" s="5">
        <f>Table1[[#This Row],[Mar_Projected_Pay]]*0.02</f>
        <v>0</v>
      </c>
      <c r="N99" s="5">
        <v>0</v>
      </c>
      <c r="O99" s="45">
        <v>0</v>
      </c>
      <c r="P99" s="5">
        <f>Table1[[#This Row],[Apr_Projected_Pay]]*0.08</f>
        <v>0</v>
      </c>
      <c r="Q99" s="5">
        <f>Table1[[#This Row],[Apr_Projected_Pay]]*0.02</f>
        <v>0</v>
      </c>
      <c r="R99" s="5">
        <v>0</v>
      </c>
      <c r="S99" s="45">
        <v>0</v>
      </c>
      <c r="T99" s="5">
        <f>Table1[[#This Row],[May_Projected_Pay]]*0.08</f>
        <v>0</v>
      </c>
      <c r="U99" s="5">
        <f>Table1[[#This Row],[May_Projected_Pay]]*0.02</f>
        <v>0</v>
      </c>
      <c r="V99" s="5">
        <v>0</v>
      </c>
      <c r="W99" s="46">
        <v>0</v>
      </c>
      <c r="X99" s="5">
        <f>Table1[[#This Row],[Jun_Projected_Pay]]*0.08</f>
        <v>0</v>
      </c>
      <c r="Y99" s="5">
        <f>Table1[[#This Row],[Jun_Projected_Pay]]*0.02</f>
        <v>0</v>
      </c>
      <c r="Z99" s="5">
        <v>0</v>
      </c>
      <c r="AA99" s="46">
        <v>0</v>
      </c>
      <c r="AB99" s="5">
        <f>Table1[[#This Row],[Jul_Projected_Pay]]*0.08</f>
        <v>0</v>
      </c>
      <c r="AC99" s="5">
        <f>Table1[[#This Row],[Jul_Projected_Pay]]*0.02</f>
        <v>0</v>
      </c>
      <c r="AD99" s="5">
        <v>0</v>
      </c>
      <c r="AE99" s="45">
        <v>0</v>
      </c>
      <c r="AF99" s="5">
        <f>Table1[[#This Row],[Aug_Projected_Pay]]*0.08</f>
        <v>0</v>
      </c>
      <c r="AG99" s="5">
        <f>Table1[[#This Row],[Aug_Projected_Pay]]*0.02</f>
        <v>0</v>
      </c>
      <c r="AH99" s="5">
        <v>0</v>
      </c>
      <c r="AI99" s="45">
        <v>5000</v>
      </c>
      <c r="AJ99" s="5">
        <f>Table1[[#This Row],[Sep_Projected_Pay]]*0.08</f>
        <v>400</v>
      </c>
      <c r="AK99" s="5">
        <f>Table1[[#This Row],[Sep_Projected_Pay]]*0.02</f>
        <v>100</v>
      </c>
      <c r="AL99" s="5">
        <v>0</v>
      </c>
      <c r="AM99" s="45">
        <v>7500</v>
      </c>
      <c r="AN99" s="5">
        <f>Table1[[#This Row],[Oct_Projected_Pay]]*0.08</f>
        <v>600</v>
      </c>
      <c r="AO99" s="5">
        <f>Table1[[#This Row],[Oct_Projected_Pay]]*0.02</f>
        <v>150</v>
      </c>
      <c r="AP99" s="5">
        <v>0</v>
      </c>
      <c r="AQ99" s="45">
        <v>15044.18679598543</v>
      </c>
      <c r="AR99" s="5">
        <f>Table1[[#This Row],[Nov_Projected_Pay]]*0.08</f>
        <v>1203.5349436788345</v>
      </c>
      <c r="AS99" s="5">
        <f>Table1[[#This Row],[Nov_Projected_Pay]]*0.02</f>
        <v>300.88373591970861</v>
      </c>
      <c r="AT99" s="5">
        <v>0</v>
      </c>
      <c r="AU99" s="45">
        <v>13012.411124142371</v>
      </c>
      <c r="AV99" s="5">
        <f>Table1[[#This Row],[Dec_Projected_Pay]]*0.08</f>
        <v>1040.9928899313898</v>
      </c>
      <c r="AW99" s="5">
        <f>Table1[[#This Row],[Dec_Projected_Pay]]*0.02</f>
        <v>260.24822248284744</v>
      </c>
      <c r="AX99" s="5">
        <v>650</v>
      </c>
      <c r="AY99" s="5">
        <f>C99+G99+K99+O99+S99+W99+AA99+AE99+AI99+AM99+AQ99+AU99</f>
        <v>40556.597920127795</v>
      </c>
      <c r="AZ99" s="59">
        <f>D99+H99+L99+P99+T99+X99+AB99+AF99+AJ99+AN99+AR99+AV99</f>
        <v>3244.5278336102247</v>
      </c>
      <c r="BA99" s="59">
        <f>E99+I99+M99+Q99+U99+Y99+AC99+AG99+AK99+AO99+AS99+AW99</f>
        <v>811.13195840255617</v>
      </c>
      <c r="BB99" s="59">
        <f>F99+J99+N99+R99+V99+Z99+AD99+AH99+AL99+AP99+AT99+AX99</f>
        <v>650</v>
      </c>
    </row>
    <row r="100" spans="1:54" x14ac:dyDescent="0.3">
      <c r="A100" t="s">
        <v>308</v>
      </c>
      <c r="B100" t="s">
        <v>216</v>
      </c>
      <c r="C100" s="46">
        <v>0</v>
      </c>
      <c r="D100" s="5">
        <f>Table1[[#This Row],[Jan_Projected_Pay]]*0.08</f>
        <v>0</v>
      </c>
      <c r="E100" s="5">
        <f>Table1[[#This Row],[Jan_Projected_Pay]]*0.02</f>
        <v>0</v>
      </c>
      <c r="F100" s="5">
        <v>0</v>
      </c>
      <c r="G100" s="45">
        <v>0</v>
      </c>
      <c r="H100" s="5">
        <f>Table1[[#This Row],[Feb_Projected_Pay]]*0.08</f>
        <v>0</v>
      </c>
      <c r="I100" s="5">
        <f>Table1[[#This Row],[Feb_Projected_Pay]]*0.02</f>
        <v>0</v>
      </c>
      <c r="J100" s="5">
        <v>0</v>
      </c>
      <c r="K100" s="45">
        <v>0</v>
      </c>
      <c r="L100" s="5">
        <f>Table1[[#This Row],[Mar_Projected_Pay]]*0.08</f>
        <v>0</v>
      </c>
      <c r="M100" s="5">
        <f>Table1[[#This Row],[Mar_Projected_Pay]]*0.02</f>
        <v>0</v>
      </c>
      <c r="N100" s="5">
        <v>0</v>
      </c>
      <c r="O100" s="45">
        <v>0</v>
      </c>
      <c r="P100" s="5">
        <f>Table1[[#This Row],[Apr_Projected_Pay]]*0.08</f>
        <v>0</v>
      </c>
      <c r="Q100" s="5">
        <f>Table1[[#This Row],[Apr_Projected_Pay]]*0.02</f>
        <v>0</v>
      </c>
      <c r="R100" s="5">
        <v>0</v>
      </c>
      <c r="S100" s="45">
        <v>0</v>
      </c>
      <c r="T100" s="5">
        <f>Table1[[#This Row],[May_Projected_Pay]]*0.08</f>
        <v>0</v>
      </c>
      <c r="U100" s="5">
        <f>Table1[[#This Row],[May_Projected_Pay]]*0.02</f>
        <v>0</v>
      </c>
      <c r="V100" s="5">
        <v>0</v>
      </c>
      <c r="W100" s="46">
        <v>0</v>
      </c>
      <c r="X100" s="5">
        <f>Table1[[#This Row],[Jun_Projected_Pay]]*0.08</f>
        <v>0</v>
      </c>
      <c r="Y100" s="5">
        <f>Table1[[#This Row],[Jun_Projected_Pay]]*0.02</f>
        <v>0</v>
      </c>
      <c r="Z100" s="5">
        <v>0</v>
      </c>
      <c r="AA100" s="46">
        <v>0</v>
      </c>
      <c r="AB100" s="5">
        <f>Table1[[#This Row],[Jul_Projected_Pay]]*0.08</f>
        <v>0</v>
      </c>
      <c r="AC100" s="5">
        <f>Table1[[#This Row],[Jul_Projected_Pay]]*0.02</f>
        <v>0</v>
      </c>
      <c r="AD100" s="5">
        <v>0</v>
      </c>
      <c r="AE100" s="45">
        <v>0</v>
      </c>
      <c r="AF100" s="5">
        <f>Table1[[#This Row],[Aug_Projected_Pay]]*0.08</f>
        <v>0</v>
      </c>
      <c r="AG100" s="5">
        <f>Table1[[#This Row],[Aug_Projected_Pay]]*0.02</f>
        <v>0</v>
      </c>
      <c r="AH100" s="5">
        <v>0</v>
      </c>
      <c r="AI100" s="45">
        <v>5000</v>
      </c>
      <c r="AJ100" s="5">
        <f>Table1[[#This Row],[Sep_Projected_Pay]]*0.08</f>
        <v>400</v>
      </c>
      <c r="AK100" s="5">
        <f>Table1[[#This Row],[Sep_Projected_Pay]]*0.02</f>
        <v>100</v>
      </c>
      <c r="AL100" s="5">
        <v>0</v>
      </c>
      <c r="AM100" s="45">
        <v>7500</v>
      </c>
      <c r="AN100" s="5">
        <f>Table1[[#This Row],[Oct_Projected_Pay]]*0.08</f>
        <v>600</v>
      </c>
      <c r="AO100" s="5">
        <f>Table1[[#This Row],[Oct_Projected_Pay]]*0.02</f>
        <v>150</v>
      </c>
      <c r="AP100" s="5">
        <v>0</v>
      </c>
      <c r="AQ100" s="45">
        <v>15044.18679598543</v>
      </c>
      <c r="AR100" s="5">
        <f>Table1[[#This Row],[Nov_Projected_Pay]]*0.08</f>
        <v>1203.5349436788345</v>
      </c>
      <c r="AS100" s="5">
        <f>Table1[[#This Row],[Nov_Projected_Pay]]*0.02</f>
        <v>300.88373591970861</v>
      </c>
      <c r="AT100" s="5">
        <v>0</v>
      </c>
      <c r="AU100" s="45">
        <v>13012.411124142371</v>
      </c>
      <c r="AV100" s="5">
        <f>Table1[[#This Row],[Dec_Projected_Pay]]*0.08</f>
        <v>1040.9928899313898</v>
      </c>
      <c r="AW100" s="5">
        <f>Table1[[#This Row],[Dec_Projected_Pay]]*0.02</f>
        <v>260.24822248284744</v>
      </c>
      <c r="AX100" s="5">
        <v>650</v>
      </c>
      <c r="AY100" s="5">
        <f>C100+G100+K100+O100+S100+W100+AA100+AE100+AI100+AM100+AQ100+AU100</f>
        <v>40556.597920127795</v>
      </c>
      <c r="AZ100" s="59">
        <f>D100+H100+L100+P100+T100+X100+AB100+AF100+AJ100+AN100+AR100+AV100</f>
        <v>3244.5278336102247</v>
      </c>
      <c r="BA100" s="59">
        <f>E100+I100+M100+Q100+U100+Y100+AC100+AG100+AK100+AO100+AS100+AW100</f>
        <v>811.13195840255617</v>
      </c>
      <c r="BB100" s="59">
        <f>F100+J100+N100+R100+V100+Z100+AD100+AH100+AL100+AP100+AT100+AX100</f>
        <v>650</v>
      </c>
    </row>
    <row r="101" spans="1:54" x14ac:dyDescent="0.3">
      <c r="A101" t="s">
        <v>309</v>
      </c>
      <c r="B101" t="s">
        <v>216</v>
      </c>
      <c r="C101" s="46">
        <v>0</v>
      </c>
      <c r="D101" s="5">
        <f>Table1[[#This Row],[Jan_Projected_Pay]]*0.08</f>
        <v>0</v>
      </c>
      <c r="E101" s="5">
        <f>Table1[[#This Row],[Jan_Projected_Pay]]*0.02</f>
        <v>0</v>
      </c>
      <c r="F101" s="5">
        <v>0</v>
      </c>
      <c r="G101" s="45">
        <v>0</v>
      </c>
      <c r="H101" s="5">
        <f>Table1[[#This Row],[Feb_Projected_Pay]]*0.08</f>
        <v>0</v>
      </c>
      <c r="I101" s="5">
        <f>Table1[[#This Row],[Feb_Projected_Pay]]*0.02</f>
        <v>0</v>
      </c>
      <c r="J101" s="5">
        <v>0</v>
      </c>
      <c r="K101" s="45">
        <v>0</v>
      </c>
      <c r="L101" s="5">
        <f>Table1[[#This Row],[Mar_Projected_Pay]]*0.08</f>
        <v>0</v>
      </c>
      <c r="M101" s="5">
        <f>Table1[[#This Row],[Mar_Projected_Pay]]*0.02</f>
        <v>0</v>
      </c>
      <c r="N101" s="5">
        <v>0</v>
      </c>
      <c r="O101" s="45">
        <v>0</v>
      </c>
      <c r="P101" s="5">
        <f>Table1[[#This Row],[Apr_Projected_Pay]]*0.08</f>
        <v>0</v>
      </c>
      <c r="Q101" s="5">
        <f>Table1[[#This Row],[Apr_Projected_Pay]]*0.02</f>
        <v>0</v>
      </c>
      <c r="R101" s="5">
        <v>0</v>
      </c>
      <c r="S101" s="45">
        <v>0</v>
      </c>
      <c r="T101" s="5">
        <f>Table1[[#This Row],[May_Projected_Pay]]*0.08</f>
        <v>0</v>
      </c>
      <c r="U101" s="5">
        <f>Table1[[#This Row],[May_Projected_Pay]]*0.02</f>
        <v>0</v>
      </c>
      <c r="V101" s="5">
        <v>0</v>
      </c>
      <c r="W101" s="46">
        <v>0</v>
      </c>
      <c r="X101" s="5">
        <f>Table1[[#This Row],[Jun_Projected_Pay]]*0.08</f>
        <v>0</v>
      </c>
      <c r="Y101" s="5">
        <f>Table1[[#This Row],[Jun_Projected_Pay]]*0.02</f>
        <v>0</v>
      </c>
      <c r="Z101" s="5">
        <v>0</v>
      </c>
      <c r="AA101" s="46">
        <v>0</v>
      </c>
      <c r="AB101" s="5">
        <f>Table1[[#This Row],[Jul_Projected_Pay]]*0.08</f>
        <v>0</v>
      </c>
      <c r="AC101" s="5">
        <f>Table1[[#This Row],[Jul_Projected_Pay]]*0.02</f>
        <v>0</v>
      </c>
      <c r="AD101" s="5">
        <v>0</v>
      </c>
      <c r="AE101" s="45">
        <v>0</v>
      </c>
      <c r="AF101" s="5">
        <f>Table1[[#This Row],[Aug_Projected_Pay]]*0.08</f>
        <v>0</v>
      </c>
      <c r="AG101" s="5">
        <f>Table1[[#This Row],[Aug_Projected_Pay]]*0.02</f>
        <v>0</v>
      </c>
      <c r="AH101" s="5">
        <v>0</v>
      </c>
      <c r="AI101" s="45">
        <v>5000</v>
      </c>
      <c r="AJ101" s="5">
        <f>Table1[[#This Row],[Sep_Projected_Pay]]*0.08</f>
        <v>400</v>
      </c>
      <c r="AK101" s="5">
        <f>Table1[[#This Row],[Sep_Projected_Pay]]*0.02</f>
        <v>100</v>
      </c>
      <c r="AL101" s="5">
        <v>0</v>
      </c>
      <c r="AM101" s="45">
        <v>7500</v>
      </c>
      <c r="AN101" s="5">
        <f>Table1[[#This Row],[Oct_Projected_Pay]]*0.08</f>
        <v>600</v>
      </c>
      <c r="AO101" s="5">
        <f>Table1[[#This Row],[Oct_Projected_Pay]]*0.02</f>
        <v>150</v>
      </c>
      <c r="AP101" s="5">
        <v>0</v>
      </c>
      <c r="AQ101" s="45">
        <v>15044.18679598543</v>
      </c>
      <c r="AR101" s="5">
        <f>Table1[[#This Row],[Nov_Projected_Pay]]*0.08</f>
        <v>1203.5349436788345</v>
      </c>
      <c r="AS101" s="5">
        <f>Table1[[#This Row],[Nov_Projected_Pay]]*0.02</f>
        <v>300.88373591970861</v>
      </c>
      <c r="AT101" s="5">
        <v>0</v>
      </c>
      <c r="AU101" s="45">
        <v>13012.411124142371</v>
      </c>
      <c r="AV101" s="5">
        <f>Table1[[#This Row],[Dec_Projected_Pay]]*0.08</f>
        <v>1040.9928899313898</v>
      </c>
      <c r="AW101" s="5">
        <f>Table1[[#This Row],[Dec_Projected_Pay]]*0.02</f>
        <v>260.24822248284744</v>
      </c>
      <c r="AX101" s="5">
        <v>650</v>
      </c>
      <c r="AY101" s="5">
        <f>C101+G101+K101+O101+S101+W101+AA101+AE101+AI101+AM101+AQ101+AU101</f>
        <v>40556.597920127795</v>
      </c>
      <c r="AZ101" s="59">
        <f>D101+H101+L101+P101+T101+X101+AB101+AF101+AJ101+AN101+AR101+AV101</f>
        <v>3244.5278336102247</v>
      </c>
      <c r="BA101" s="59">
        <f>E101+I101+M101+Q101+U101+Y101+AC101+AG101+AK101+AO101+AS101+AW101</f>
        <v>811.13195840255617</v>
      </c>
      <c r="BB101" s="59">
        <f>F101+J101+N101+R101+V101+Z101+AD101+AH101+AL101+AP101+AT101+AX101</f>
        <v>650</v>
      </c>
    </row>
    <row r="102" spans="1:54" x14ac:dyDescent="0.3">
      <c r="A102" s="3" t="s">
        <v>177</v>
      </c>
      <c r="B102" t="s">
        <v>142</v>
      </c>
      <c r="C102" s="46">
        <v>0</v>
      </c>
      <c r="D102" s="5">
        <f>Table1[[#This Row],[Jan_Projected_Pay]]*0.08</f>
        <v>0</v>
      </c>
      <c r="E102" s="5">
        <f>Table1[[#This Row],[Jan_Projected_Pay]]*0.02</f>
        <v>0</v>
      </c>
      <c r="F102" s="5">
        <v>458</v>
      </c>
      <c r="G102" s="45">
        <v>0</v>
      </c>
      <c r="H102" s="5">
        <f>Table1[[#This Row],[Feb_Projected_Pay]]*0.08</f>
        <v>0</v>
      </c>
      <c r="I102" s="5">
        <f>Table1[[#This Row],[Feb_Projected_Pay]]*0.02</f>
        <v>0</v>
      </c>
      <c r="J102" s="5">
        <v>458</v>
      </c>
      <c r="K102" s="45">
        <v>0</v>
      </c>
      <c r="L102" s="5">
        <f>Table1[[#This Row],[Mar_Projected_Pay]]*0.08</f>
        <v>0</v>
      </c>
      <c r="M102" s="5">
        <f>Table1[[#This Row],[Mar_Projected_Pay]]*0.02</f>
        <v>0</v>
      </c>
      <c r="N102" s="5">
        <v>458</v>
      </c>
      <c r="O102" s="45">
        <v>0</v>
      </c>
      <c r="P102" s="5">
        <f>Table1[[#This Row],[Apr_Projected_Pay]]*0.08</f>
        <v>0</v>
      </c>
      <c r="Q102" s="5">
        <f>Table1[[#This Row],[Apr_Projected_Pay]]*0.02</f>
        <v>0</v>
      </c>
      <c r="R102" s="5">
        <v>458</v>
      </c>
      <c r="S102" s="45">
        <v>0</v>
      </c>
      <c r="T102" s="5">
        <f>Table1[[#This Row],[May_Projected_Pay]]*0.08</f>
        <v>0</v>
      </c>
      <c r="U102" s="5">
        <f>Table1[[#This Row],[May_Projected_Pay]]*0.02</f>
        <v>0</v>
      </c>
      <c r="V102" s="5">
        <v>458</v>
      </c>
      <c r="W102" s="45">
        <v>0</v>
      </c>
      <c r="X102" s="5">
        <f>Table1[[#This Row],[Jun_Projected_Pay]]*0.08</f>
        <v>0</v>
      </c>
      <c r="Y102" s="5">
        <f>Table1[[#This Row],[Jun_Projected_Pay]]*0.02</f>
        <v>0</v>
      </c>
      <c r="Z102" s="5">
        <v>458</v>
      </c>
      <c r="AA102" s="45">
        <v>0</v>
      </c>
      <c r="AB102" s="5">
        <f>Table1[[#This Row],[Jul_Projected_Pay]]*0.08</f>
        <v>0</v>
      </c>
      <c r="AC102" s="5">
        <f>Table1[[#This Row],[Jul_Projected_Pay]]*0.02</f>
        <v>0</v>
      </c>
      <c r="AD102" s="5">
        <v>458</v>
      </c>
      <c r="AE102" s="45">
        <v>0</v>
      </c>
      <c r="AF102" s="5">
        <f>Table1[[#This Row],[Aug_Projected_Pay]]*0.08</f>
        <v>0</v>
      </c>
      <c r="AG102" s="5">
        <f>Table1[[#This Row],[Aug_Projected_Pay]]*0.02</f>
        <v>0</v>
      </c>
      <c r="AH102" s="5">
        <v>458</v>
      </c>
      <c r="AI102" s="45">
        <v>5000</v>
      </c>
      <c r="AJ102" s="5">
        <f>Table1[[#This Row],[Sep_Projected_Pay]]*0.08</f>
        <v>400</v>
      </c>
      <c r="AK102" s="5">
        <f>Table1[[#This Row],[Sep_Projected_Pay]]*0.02</f>
        <v>100</v>
      </c>
      <c r="AL102" s="5">
        <v>458</v>
      </c>
      <c r="AM102" s="45">
        <v>0</v>
      </c>
      <c r="AN102" s="5">
        <f>Table1[[#This Row],[Oct_Projected_Pay]]*0.08</f>
        <v>0</v>
      </c>
      <c r="AO102" s="5">
        <f>Table1[[#This Row],[Oct_Projected_Pay]]*0.02</f>
        <v>0</v>
      </c>
      <c r="AP102" s="5">
        <v>458</v>
      </c>
      <c r="AQ102" s="45">
        <v>0</v>
      </c>
      <c r="AR102" s="5">
        <f>Table1[[#This Row],[Nov_Projected_Pay]]*0.08</f>
        <v>0</v>
      </c>
      <c r="AS102" s="5">
        <f>Table1[[#This Row],[Nov_Projected_Pay]]*0.02</f>
        <v>0</v>
      </c>
      <c r="AT102" s="5">
        <v>458</v>
      </c>
      <c r="AU102" s="45">
        <v>0</v>
      </c>
      <c r="AV102" s="5">
        <f>Table1[[#This Row],[Dec_Projected_Pay]]*0.08</f>
        <v>0</v>
      </c>
      <c r="AW102" s="5">
        <f>Table1[[#This Row],[Dec_Projected_Pay]]*0.02</f>
        <v>0</v>
      </c>
      <c r="AX102" s="5">
        <v>458</v>
      </c>
      <c r="AY102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5000</v>
      </c>
      <c r="AZ102" s="59">
        <f>D102+H102+L102+P102+T102+X102+AB102+AF102+AJ102+AN102+AR102+AV102</f>
        <v>400</v>
      </c>
      <c r="BA102" s="59">
        <f>E102+I102+M102+Q102+U102+Y102+AC102+AG102+AK102+AO102+AS102+AW102</f>
        <v>100</v>
      </c>
      <c r="BB102" s="59">
        <f>F102+J102+N102+R102+V102+Z102+AD102+AH102+AL102+AP102+AT102+AX102</f>
        <v>5496</v>
      </c>
    </row>
    <row r="103" spans="1:54" x14ac:dyDescent="0.3">
      <c r="A103" s="30" t="s">
        <v>178</v>
      </c>
      <c r="B103" t="s">
        <v>139</v>
      </c>
      <c r="C103" s="46">
        <v>21315</v>
      </c>
      <c r="D103" s="5">
        <f>Table1[[#This Row],[Jan_Projected_Pay]]*0.08</f>
        <v>1705.2</v>
      </c>
      <c r="E103" s="5">
        <f>Table1[[#This Row],[Jan_Projected_Pay]]*0.02</f>
        <v>426.3</v>
      </c>
      <c r="F103" s="5">
        <v>458</v>
      </c>
      <c r="G103" s="45">
        <v>1303.621897</v>
      </c>
      <c r="H103" s="5">
        <f>Table1[[#This Row],[Feb_Projected_Pay]]*0.08</f>
        <v>104.28975176</v>
      </c>
      <c r="I103" s="5">
        <f>Table1[[#This Row],[Feb_Projected_Pay]]*0.02</f>
        <v>26.07243794</v>
      </c>
      <c r="J103" s="5">
        <v>458</v>
      </c>
      <c r="K103" s="45">
        <v>4596</v>
      </c>
      <c r="L103" s="5">
        <f>Table1[[#This Row],[Mar_Projected_Pay]]*0.08</f>
        <v>367.68</v>
      </c>
      <c r="M103" s="5">
        <f>Table1[[#This Row],[Mar_Projected_Pay]]*0.02</f>
        <v>91.92</v>
      </c>
      <c r="N103" s="5">
        <v>458</v>
      </c>
      <c r="O103" s="45">
        <v>16264</v>
      </c>
      <c r="P103" s="5">
        <f>Table1[[#This Row],[Apr_Projected_Pay]]*0.08</f>
        <v>1301.1200000000001</v>
      </c>
      <c r="Q103" s="5">
        <f>Table1[[#This Row],[Apr_Projected_Pay]]*0.02</f>
        <v>325.28000000000003</v>
      </c>
      <c r="R103" s="5">
        <v>458</v>
      </c>
      <c r="S103" s="45">
        <v>22366</v>
      </c>
      <c r="T103" s="5">
        <f>Table1[[#This Row],[May_Projected_Pay]]*0.08</f>
        <v>1789.28</v>
      </c>
      <c r="U103" s="5">
        <f>Table1[[#This Row],[May_Projected_Pay]]*0.02</f>
        <v>447.32</v>
      </c>
      <c r="V103" s="5">
        <v>458</v>
      </c>
      <c r="W103" s="45">
        <v>21005</v>
      </c>
      <c r="X103" s="5">
        <f>Table1[[#This Row],[Jun_Projected_Pay]]*0.08</f>
        <v>1680.4</v>
      </c>
      <c r="Y103" s="5">
        <f>Table1[[#This Row],[Jun_Projected_Pay]]*0.02</f>
        <v>420.1</v>
      </c>
      <c r="Z103" s="5">
        <v>458</v>
      </c>
      <c r="AA103" s="45">
        <v>32676</v>
      </c>
      <c r="AB103" s="5">
        <f>Table1[[#This Row],[Jul_Projected_Pay]]*0.08</f>
        <v>2614.08</v>
      </c>
      <c r="AC103" s="5">
        <f>Table1[[#This Row],[Jul_Projected_Pay]]*0.02</f>
        <v>653.52</v>
      </c>
      <c r="AD103" s="5">
        <v>458</v>
      </c>
      <c r="AE103" s="45">
        <v>10125</v>
      </c>
      <c r="AF103" s="5">
        <f>Table1[[#This Row],[Aug_Projected_Pay]]*0.08</f>
        <v>810</v>
      </c>
      <c r="AG103" s="5">
        <f>Table1[[#This Row],[Aug_Projected_Pay]]*0.02</f>
        <v>202.5</v>
      </c>
      <c r="AH103" s="5">
        <v>458</v>
      </c>
      <c r="AI103" s="45">
        <v>5000</v>
      </c>
      <c r="AJ103" s="5">
        <f>Table1[[#This Row],[Sep_Projected_Pay]]*0.08</f>
        <v>400</v>
      </c>
      <c r="AK103" s="5">
        <f>Table1[[#This Row],[Sep_Projected_Pay]]*0.02</f>
        <v>100</v>
      </c>
      <c r="AL103" s="5">
        <v>458</v>
      </c>
      <c r="AM103" s="45">
        <v>13433</v>
      </c>
      <c r="AN103" s="5">
        <f>Table1[[#This Row],[Oct_Projected_Pay]]*0.08</f>
        <v>1074.6400000000001</v>
      </c>
      <c r="AO103" s="5">
        <f>Table1[[#This Row],[Oct_Projected_Pay]]*0.02</f>
        <v>268.66000000000003</v>
      </c>
      <c r="AP103" s="5">
        <v>458</v>
      </c>
      <c r="AQ103" s="45">
        <v>3546</v>
      </c>
      <c r="AR103" s="5">
        <f>Table1[[#This Row],[Nov_Projected_Pay]]*0.08</f>
        <v>283.68</v>
      </c>
      <c r="AS103" s="5">
        <f>Table1[[#This Row],[Nov_Projected_Pay]]*0.02</f>
        <v>70.92</v>
      </c>
      <c r="AT103" s="5">
        <v>458</v>
      </c>
      <c r="AU103" s="45">
        <v>2173.5538120000001</v>
      </c>
      <c r="AV103" s="5">
        <f>Table1[[#This Row],[Dec_Projected_Pay]]*0.08</f>
        <v>173.88430496000001</v>
      </c>
      <c r="AW103" s="5">
        <f>Table1[[#This Row],[Dec_Projected_Pay]]*0.02</f>
        <v>43.471076240000002</v>
      </c>
      <c r="AX103" s="5">
        <v>458</v>
      </c>
      <c r="AY103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153803.175709</v>
      </c>
      <c r="AZ103" s="59">
        <f>D103+H103+L103+P103+T103+X103+AB103+AF103+AJ103+AN103+AR103+AV103</f>
        <v>12304.254056719999</v>
      </c>
      <c r="BA103" s="59">
        <f>E103+I103+M103+Q103+U103+Y103+AC103+AG103+AK103+AO103+AS103+AW103</f>
        <v>3076.0635141799999</v>
      </c>
      <c r="BB103" s="59">
        <f>F103+J103+N103+R103+V103+Z103+AD103+AH103+AL103+AP103+AT103+AX103</f>
        <v>5496</v>
      </c>
    </row>
    <row r="104" spans="1:54" x14ac:dyDescent="0.3">
      <c r="A104" s="3" t="s">
        <v>179</v>
      </c>
      <c r="B104" t="s">
        <v>139</v>
      </c>
      <c r="C104" s="46">
        <v>0</v>
      </c>
      <c r="D104" s="5">
        <f>Table1[[#This Row],[Jan_Projected_Pay]]*0.08</f>
        <v>0</v>
      </c>
      <c r="E104" s="5">
        <f>Table1[[#This Row],[Jan_Projected_Pay]]*0.02</f>
        <v>0</v>
      </c>
      <c r="F104" s="5">
        <v>458</v>
      </c>
      <c r="G104" s="45">
        <v>0</v>
      </c>
      <c r="H104" s="5">
        <f>Table1[[#This Row],[Feb_Projected_Pay]]*0.08</f>
        <v>0</v>
      </c>
      <c r="I104" s="5">
        <f>Table1[[#This Row],[Feb_Projected_Pay]]*0.02</f>
        <v>0</v>
      </c>
      <c r="J104" s="5">
        <v>458</v>
      </c>
      <c r="K104" s="45">
        <v>0</v>
      </c>
      <c r="L104" s="5">
        <f>Table1[[#This Row],[Mar_Projected_Pay]]*0.08</f>
        <v>0</v>
      </c>
      <c r="M104" s="5">
        <f>Table1[[#This Row],[Mar_Projected_Pay]]*0.02</f>
        <v>0</v>
      </c>
      <c r="N104" s="5">
        <v>458</v>
      </c>
      <c r="O104" s="45">
        <v>0</v>
      </c>
      <c r="P104" s="5">
        <f>Table1[[#This Row],[Apr_Projected_Pay]]*0.08</f>
        <v>0</v>
      </c>
      <c r="Q104" s="5">
        <f>Table1[[#This Row],[Apr_Projected_Pay]]*0.02</f>
        <v>0</v>
      </c>
      <c r="R104" s="5">
        <v>458</v>
      </c>
      <c r="S104" s="45">
        <v>0</v>
      </c>
      <c r="T104" s="5">
        <f>Table1[[#This Row],[May_Projected_Pay]]*0.08</f>
        <v>0</v>
      </c>
      <c r="U104" s="5">
        <f>Table1[[#This Row],[May_Projected_Pay]]*0.02</f>
        <v>0</v>
      </c>
      <c r="V104" s="5">
        <v>458</v>
      </c>
      <c r="W104" s="45">
        <v>0</v>
      </c>
      <c r="X104" s="5">
        <f>Table1[[#This Row],[Jun_Projected_Pay]]*0.08</f>
        <v>0</v>
      </c>
      <c r="Y104" s="5">
        <f>Table1[[#This Row],[Jun_Projected_Pay]]*0.02</f>
        <v>0</v>
      </c>
      <c r="Z104" s="5">
        <v>458</v>
      </c>
      <c r="AA104" s="45">
        <v>0</v>
      </c>
      <c r="AB104" s="5">
        <f>Table1[[#This Row],[Jul_Projected_Pay]]*0.08</f>
        <v>0</v>
      </c>
      <c r="AC104" s="5">
        <f>Table1[[#This Row],[Jul_Projected_Pay]]*0.02</f>
        <v>0</v>
      </c>
      <c r="AD104" s="5">
        <v>458</v>
      </c>
      <c r="AE104" s="45">
        <v>0</v>
      </c>
      <c r="AF104" s="5">
        <f>Table1[[#This Row],[Aug_Projected_Pay]]*0.08</f>
        <v>0</v>
      </c>
      <c r="AG104" s="5">
        <f>Table1[[#This Row],[Aug_Projected_Pay]]*0.02</f>
        <v>0</v>
      </c>
      <c r="AH104" s="5">
        <v>458</v>
      </c>
      <c r="AI104" s="45">
        <v>0</v>
      </c>
      <c r="AJ104" s="5">
        <f>Table1[[#This Row],[Sep_Projected_Pay]]*0.08</f>
        <v>0</v>
      </c>
      <c r="AK104" s="5">
        <f>Table1[[#This Row],[Sep_Projected_Pay]]*0.02</f>
        <v>0</v>
      </c>
      <c r="AL104" s="5">
        <v>458</v>
      </c>
      <c r="AM104" s="45">
        <v>0</v>
      </c>
      <c r="AN104" s="5">
        <f>Table1[[#This Row],[Oct_Projected_Pay]]*0.08</f>
        <v>0</v>
      </c>
      <c r="AO104" s="5">
        <f>Table1[[#This Row],[Oct_Projected_Pay]]*0.02</f>
        <v>0</v>
      </c>
      <c r="AP104" s="5">
        <v>458</v>
      </c>
      <c r="AQ104" s="45">
        <v>0</v>
      </c>
      <c r="AR104" s="5">
        <f>Table1[[#This Row],[Nov_Projected_Pay]]*0.08</f>
        <v>0</v>
      </c>
      <c r="AS104" s="5">
        <f>Table1[[#This Row],[Nov_Projected_Pay]]*0.02</f>
        <v>0</v>
      </c>
      <c r="AT104" s="5">
        <v>458</v>
      </c>
      <c r="AU104" s="45">
        <v>0</v>
      </c>
      <c r="AV104" s="5">
        <f>Table1[[#This Row],[Dec_Projected_Pay]]*0.08</f>
        <v>0</v>
      </c>
      <c r="AW104" s="5">
        <f>Table1[[#This Row],[Dec_Projected_Pay]]*0.02</f>
        <v>0</v>
      </c>
      <c r="AX104" s="5">
        <v>458</v>
      </c>
      <c r="AY104" s="5">
        <v>0</v>
      </c>
      <c r="AZ104" s="59">
        <f>D104+H104+L104+P104+T104+X104+AB104+AF104+AJ104+AN104+AR104+AV104</f>
        <v>0</v>
      </c>
      <c r="BA104" s="59">
        <f>E104+I104+M104+Q104+U104+Y104+AC104+AG104+AK104+AO104+AS104+AW104</f>
        <v>0</v>
      </c>
      <c r="BB104" s="59">
        <f>F104+J104+N104+R104+V104+Z104+AD104+AH104+AL104+AP104+AT104+AX104</f>
        <v>5496</v>
      </c>
    </row>
    <row r="105" spans="1:54" x14ac:dyDescent="0.3">
      <c r="A105" s="43" t="s">
        <v>181</v>
      </c>
      <c r="B105" t="s">
        <v>139</v>
      </c>
      <c r="C105" s="46">
        <v>20156</v>
      </c>
      <c r="D105" s="5">
        <f>Table1[[#This Row],[Jan_Projected_Pay]]*0.08</f>
        <v>1612.48</v>
      </c>
      <c r="E105" s="5">
        <f>Table1[[#This Row],[Jan_Projected_Pay]]*0.02</f>
        <v>403.12</v>
      </c>
      <c r="F105" s="5">
        <v>600</v>
      </c>
      <c r="G105" s="45">
        <v>0</v>
      </c>
      <c r="H105" s="5">
        <f>Table1[[#This Row],[Feb_Projected_Pay]]*0.08</f>
        <v>0</v>
      </c>
      <c r="I105" s="5">
        <f>Table1[[#This Row],[Feb_Projected_Pay]]*0.02</f>
        <v>0</v>
      </c>
      <c r="J105" s="5">
        <v>600</v>
      </c>
      <c r="K105" s="45">
        <v>10001</v>
      </c>
      <c r="L105" s="5">
        <f>Table1[[#This Row],[Mar_Projected_Pay]]*0.08</f>
        <v>800.08</v>
      </c>
      <c r="M105" s="5">
        <f>Table1[[#This Row],[Mar_Projected_Pay]]*0.02</f>
        <v>200.02</v>
      </c>
      <c r="N105" s="5">
        <v>600</v>
      </c>
      <c r="O105" s="45">
        <v>51099</v>
      </c>
      <c r="P105" s="5">
        <f>Table1[[#This Row],[Apr_Projected_Pay]]*0.08</f>
        <v>4087.92</v>
      </c>
      <c r="Q105" s="5">
        <f>Table1[[#This Row],[Apr_Projected_Pay]]*0.02</f>
        <v>1021.98</v>
      </c>
      <c r="R105" s="5">
        <v>600</v>
      </c>
      <c r="S105" s="45">
        <v>66868</v>
      </c>
      <c r="T105" s="5">
        <f>Table1[[#This Row],[May_Projected_Pay]]*0.08</f>
        <v>5349.4400000000005</v>
      </c>
      <c r="U105" s="5">
        <f>Table1[[#This Row],[May_Projected_Pay]]*0.02</f>
        <v>1337.3600000000001</v>
      </c>
      <c r="V105" s="5">
        <v>600</v>
      </c>
      <c r="W105" s="45">
        <v>40411</v>
      </c>
      <c r="X105" s="5">
        <f>Table1[[#This Row],[Jun_Projected_Pay]]*0.08</f>
        <v>3232.88</v>
      </c>
      <c r="Y105" s="5">
        <f>Table1[[#This Row],[Jun_Projected_Pay]]*0.02</f>
        <v>808.22</v>
      </c>
      <c r="Z105" s="5">
        <v>600</v>
      </c>
      <c r="AA105" s="45">
        <v>59027</v>
      </c>
      <c r="AB105" s="5">
        <f>Table1[[#This Row],[Jul_Projected_Pay]]*0.08</f>
        <v>4722.16</v>
      </c>
      <c r="AC105" s="5">
        <f>Table1[[#This Row],[Jul_Projected_Pay]]*0.02</f>
        <v>1180.54</v>
      </c>
      <c r="AD105" s="5">
        <v>600</v>
      </c>
      <c r="AE105" s="45">
        <v>68393</v>
      </c>
      <c r="AF105" s="5">
        <f>Table1[[#This Row],[Aug_Projected_Pay]]*0.08</f>
        <v>5471.4400000000005</v>
      </c>
      <c r="AG105" s="5">
        <f>Table1[[#This Row],[Aug_Projected_Pay]]*0.02</f>
        <v>1367.8600000000001</v>
      </c>
      <c r="AH105" s="5">
        <v>600</v>
      </c>
      <c r="AI105" s="45">
        <v>40925</v>
      </c>
      <c r="AJ105" s="5">
        <f>Table1[[#This Row],[Sep_Projected_Pay]]*0.08</f>
        <v>3274</v>
      </c>
      <c r="AK105" s="5">
        <f>Table1[[#This Row],[Sep_Projected_Pay]]*0.02</f>
        <v>818.5</v>
      </c>
      <c r="AL105" s="5">
        <v>600</v>
      </c>
      <c r="AM105" s="45">
        <v>38872</v>
      </c>
      <c r="AN105" s="5">
        <f>Table1[[#This Row],[Oct_Projected_Pay]]*0.08</f>
        <v>3109.76</v>
      </c>
      <c r="AO105" s="5">
        <f>Table1[[#This Row],[Oct_Projected_Pay]]*0.02</f>
        <v>777.44</v>
      </c>
      <c r="AP105" s="5">
        <v>600</v>
      </c>
      <c r="AQ105" s="45">
        <v>26684</v>
      </c>
      <c r="AR105" s="5">
        <f>Table1[[#This Row],[Nov_Projected_Pay]]*0.08</f>
        <v>2134.7200000000003</v>
      </c>
      <c r="AS105" s="5">
        <f>Table1[[#This Row],[Nov_Projected_Pay]]*0.02</f>
        <v>533.68000000000006</v>
      </c>
      <c r="AT105" s="5">
        <v>600</v>
      </c>
      <c r="AU105" s="45">
        <v>15237</v>
      </c>
      <c r="AV105" s="5">
        <f>Table1[[#This Row],[Dec_Projected_Pay]]*0.08</f>
        <v>1218.96</v>
      </c>
      <c r="AW105" s="5">
        <f>Table1[[#This Row],[Dec_Projected_Pay]]*0.02</f>
        <v>304.74</v>
      </c>
      <c r="AX105" s="5">
        <v>600</v>
      </c>
      <c r="AY105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437673</v>
      </c>
      <c r="AZ105" s="59">
        <f>D105+H105+L105+P105+T105+X105+AB105+AF105+AJ105+AN105+AR105+AV105</f>
        <v>35013.840000000004</v>
      </c>
      <c r="BA105" s="59">
        <f>E105+I105+M105+Q105+U105+Y105+AC105+AG105+AK105+AO105+AS105+AW105</f>
        <v>8753.4600000000009</v>
      </c>
      <c r="BB105" s="59">
        <f>F105+J105+N105+R105+V105+Z105+AD105+AH105+AL105+AP105+AT105+AX105</f>
        <v>7200</v>
      </c>
    </row>
    <row r="106" spans="1:54" x14ac:dyDescent="0.3">
      <c r="A106" t="s">
        <v>180</v>
      </c>
      <c r="B106" t="s">
        <v>139</v>
      </c>
      <c r="C106" s="46">
        <v>0</v>
      </c>
      <c r="D106" s="5">
        <f>Table1[[#This Row],[Jan_Projected_Pay]]*0.08</f>
        <v>0</v>
      </c>
      <c r="E106" s="5">
        <f>Table1[[#This Row],[Jan_Projected_Pay]]*0.02</f>
        <v>0</v>
      </c>
      <c r="F106" s="5">
        <v>458</v>
      </c>
      <c r="G106" s="45">
        <v>0</v>
      </c>
      <c r="H106" s="5">
        <f>Table1[[#This Row],[Feb_Projected_Pay]]*0.08</f>
        <v>0</v>
      </c>
      <c r="I106" s="5">
        <f>Table1[[#This Row],[Feb_Projected_Pay]]*0.02</f>
        <v>0</v>
      </c>
      <c r="J106" s="5">
        <v>458</v>
      </c>
      <c r="K106" s="45">
        <v>1325</v>
      </c>
      <c r="L106" s="5">
        <f>Table1[[#This Row],[Mar_Projected_Pay]]*0.08</f>
        <v>106</v>
      </c>
      <c r="M106" s="5">
        <f>Table1[[#This Row],[Mar_Projected_Pay]]*0.02</f>
        <v>26.5</v>
      </c>
      <c r="N106" s="5">
        <v>458</v>
      </c>
      <c r="O106" s="45">
        <v>16182</v>
      </c>
      <c r="P106" s="5">
        <f>Table1[[#This Row],[Apr_Projected_Pay]]*0.08</f>
        <v>1294.56</v>
      </c>
      <c r="Q106" s="5">
        <f>Table1[[#This Row],[Apr_Projected_Pay]]*0.02</f>
        <v>323.64</v>
      </c>
      <c r="R106" s="5">
        <v>458</v>
      </c>
      <c r="S106" s="45">
        <v>18181</v>
      </c>
      <c r="T106" s="5">
        <f>Table1[[#This Row],[May_Projected_Pay]]*0.08</f>
        <v>1454.48</v>
      </c>
      <c r="U106" s="5">
        <f>Table1[[#This Row],[May_Projected_Pay]]*0.02</f>
        <v>363.62</v>
      </c>
      <c r="V106" s="5">
        <v>458</v>
      </c>
      <c r="W106" s="45">
        <v>30161</v>
      </c>
      <c r="X106" s="5">
        <f>Table1[[#This Row],[Jun_Projected_Pay]]*0.08</f>
        <v>2412.88</v>
      </c>
      <c r="Y106" s="5">
        <f>Table1[[#This Row],[Jun_Projected_Pay]]*0.02</f>
        <v>603.22</v>
      </c>
      <c r="Z106" s="5">
        <v>458</v>
      </c>
      <c r="AA106" s="45">
        <v>38746</v>
      </c>
      <c r="AB106" s="5">
        <f>Table1[[#This Row],[Jul_Projected_Pay]]*0.08</f>
        <v>3099.6800000000003</v>
      </c>
      <c r="AC106" s="5">
        <f>Table1[[#This Row],[Jul_Projected_Pay]]*0.02</f>
        <v>774.92000000000007</v>
      </c>
      <c r="AD106" s="5">
        <v>458</v>
      </c>
      <c r="AE106" s="45">
        <v>24723</v>
      </c>
      <c r="AF106" s="5">
        <f>Table1[[#This Row],[Aug_Projected_Pay]]*0.08</f>
        <v>1977.8400000000001</v>
      </c>
      <c r="AG106" s="5">
        <f>Table1[[#This Row],[Aug_Projected_Pay]]*0.02</f>
        <v>494.46000000000004</v>
      </c>
      <c r="AH106" s="5">
        <v>458</v>
      </c>
      <c r="AI106" s="45">
        <v>44184</v>
      </c>
      <c r="AJ106" s="5">
        <f>Table1[[#This Row],[Sep_Projected_Pay]]*0.08</f>
        <v>3534.7200000000003</v>
      </c>
      <c r="AK106" s="5">
        <f>Table1[[#This Row],[Sep_Projected_Pay]]*0.02</f>
        <v>883.68000000000006</v>
      </c>
      <c r="AL106" s="5">
        <v>458</v>
      </c>
      <c r="AM106" s="45">
        <v>18539</v>
      </c>
      <c r="AN106" s="5">
        <f>Table1[[#This Row],[Oct_Projected_Pay]]*0.08</f>
        <v>1483.1200000000001</v>
      </c>
      <c r="AO106" s="5">
        <f>Table1[[#This Row],[Oct_Projected_Pay]]*0.02</f>
        <v>370.78000000000003</v>
      </c>
      <c r="AP106" s="5">
        <v>458</v>
      </c>
      <c r="AQ106" s="45">
        <v>17348</v>
      </c>
      <c r="AR106" s="5">
        <f>Table1[[#This Row],[Nov_Projected_Pay]]*0.08</f>
        <v>1387.84</v>
      </c>
      <c r="AS106" s="5">
        <f>Table1[[#This Row],[Nov_Projected_Pay]]*0.02</f>
        <v>346.96</v>
      </c>
      <c r="AT106" s="5">
        <v>458</v>
      </c>
      <c r="AU106" s="45">
        <v>4125</v>
      </c>
      <c r="AV106" s="5">
        <f>Table1[[#This Row],[Dec_Projected_Pay]]*0.08</f>
        <v>330</v>
      </c>
      <c r="AW106" s="5">
        <f>Table1[[#This Row],[Dec_Projected_Pay]]*0.02</f>
        <v>82.5</v>
      </c>
      <c r="AX106" s="5">
        <v>458</v>
      </c>
      <c r="AY106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213514</v>
      </c>
      <c r="AZ106" s="59">
        <f>D106+H106+L106+P106+T106+X106+AB106+AF106+AJ106+AN106+AR106+AV106</f>
        <v>17081.12</v>
      </c>
      <c r="BA106" s="59">
        <f>E106+I106+M106+Q106+U106+Y106+AC106+AG106+AK106+AO106+AS106+AW106</f>
        <v>4270.28</v>
      </c>
      <c r="BB106" s="59">
        <f>F106+J106+N106+R106+V106+Z106+AD106+AH106+AL106+AP106+AT106+AX106</f>
        <v>5496</v>
      </c>
    </row>
    <row r="107" spans="1:54" x14ac:dyDescent="0.3">
      <c r="A107" s="30" t="s">
        <v>182</v>
      </c>
      <c r="B107" t="s">
        <v>150</v>
      </c>
      <c r="C107" s="46">
        <v>0</v>
      </c>
      <c r="D107" s="5">
        <f>Table1[[#This Row],[Jan_Projected_Pay]]*0.08</f>
        <v>0</v>
      </c>
      <c r="E107" s="5">
        <f>Table1[[#This Row],[Jan_Projected_Pay]]*0.02</f>
        <v>0</v>
      </c>
      <c r="F107" s="5">
        <v>458</v>
      </c>
      <c r="G107" s="45">
        <v>0</v>
      </c>
      <c r="H107" s="5">
        <f>Table1[[#This Row],[Feb_Projected_Pay]]*0.08</f>
        <v>0</v>
      </c>
      <c r="I107" s="5">
        <f>Table1[[#This Row],[Feb_Projected_Pay]]*0.02</f>
        <v>0</v>
      </c>
      <c r="J107" s="5">
        <v>458</v>
      </c>
      <c r="K107" s="45">
        <v>1794</v>
      </c>
      <c r="L107" s="5">
        <f>Table1[[#This Row],[Mar_Projected_Pay]]*0.08</f>
        <v>143.52000000000001</v>
      </c>
      <c r="M107" s="5">
        <f>Table1[[#This Row],[Mar_Projected_Pay]]*0.02</f>
        <v>35.880000000000003</v>
      </c>
      <c r="N107" s="5">
        <v>458</v>
      </c>
      <c r="O107" s="45">
        <v>1400</v>
      </c>
      <c r="P107" s="5">
        <f>Table1[[#This Row],[Apr_Projected_Pay]]*0.08</f>
        <v>112</v>
      </c>
      <c r="Q107" s="5">
        <f>Table1[[#This Row],[Apr_Projected_Pay]]*0.02</f>
        <v>28</v>
      </c>
      <c r="R107" s="5">
        <v>458</v>
      </c>
      <c r="S107" s="45">
        <v>9585</v>
      </c>
      <c r="T107" s="5">
        <f>Table1[[#This Row],[May_Projected_Pay]]*0.08</f>
        <v>766.80000000000007</v>
      </c>
      <c r="U107" s="5">
        <f>Table1[[#This Row],[May_Projected_Pay]]*0.02</f>
        <v>191.70000000000002</v>
      </c>
      <c r="V107" s="5">
        <v>458</v>
      </c>
      <c r="W107" s="45">
        <v>26615</v>
      </c>
      <c r="X107" s="5">
        <f>Table1[[#This Row],[Jun_Projected_Pay]]*0.08</f>
        <v>2129.1999999999998</v>
      </c>
      <c r="Y107" s="5">
        <f>Table1[[#This Row],[Jun_Projected_Pay]]*0.02</f>
        <v>532.29999999999995</v>
      </c>
      <c r="Z107" s="5">
        <v>458</v>
      </c>
      <c r="AA107" s="45">
        <v>16806</v>
      </c>
      <c r="AB107" s="5">
        <f>Table1[[#This Row],[Jul_Projected_Pay]]*0.08</f>
        <v>1344.48</v>
      </c>
      <c r="AC107" s="5">
        <f>Table1[[#This Row],[Jul_Projected_Pay]]*0.02</f>
        <v>336.12</v>
      </c>
      <c r="AD107" s="5">
        <v>458</v>
      </c>
      <c r="AE107" s="45">
        <v>29453</v>
      </c>
      <c r="AF107" s="5">
        <f>Table1[[#This Row],[Aug_Projected_Pay]]*0.08</f>
        <v>2356.2400000000002</v>
      </c>
      <c r="AG107" s="5">
        <f>Table1[[#This Row],[Aug_Projected_Pay]]*0.02</f>
        <v>589.06000000000006</v>
      </c>
      <c r="AH107" s="5">
        <v>458</v>
      </c>
      <c r="AI107" s="45">
        <v>36057</v>
      </c>
      <c r="AJ107" s="5">
        <f>Table1[[#This Row],[Sep_Projected_Pay]]*0.08</f>
        <v>2884.56</v>
      </c>
      <c r="AK107" s="5">
        <f>Table1[[#This Row],[Sep_Projected_Pay]]*0.02</f>
        <v>721.14</v>
      </c>
      <c r="AL107" s="5">
        <v>458</v>
      </c>
      <c r="AM107" s="45">
        <v>20931</v>
      </c>
      <c r="AN107" s="5">
        <f>Table1[[#This Row],[Oct_Projected_Pay]]*0.08</f>
        <v>1674.48</v>
      </c>
      <c r="AO107" s="5">
        <f>Table1[[#This Row],[Oct_Projected_Pay]]*0.02</f>
        <v>418.62</v>
      </c>
      <c r="AP107" s="5">
        <v>458</v>
      </c>
      <c r="AQ107" s="45">
        <v>6045</v>
      </c>
      <c r="AR107" s="5">
        <f>Table1[[#This Row],[Nov_Projected_Pay]]*0.08</f>
        <v>483.6</v>
      </c>
      <c r="AS107" s="5">
        <f>Table1[[#This Row],[Nov_Projected_Pay]]*0.02</f>
        <v>120.9</v>
      </c>
      <c r="AT107" s="5">
        <v>458</v>
      </c>
      <c r="AU107" s="45">
        <v>10965</v>
      </c>
      <c r="AV107" s="5">
        <f>Table1[[#This Row],[Dec_Projected_Pay]]*0.08</f>
        <v>877.2</v>
      </c>
      <c r="AW107" s="5">
        <f>Table1[[#This Row],[Dec_Projected_Pay]]*0.02</f>
        <v>219.3</v>
      </c>
      <c r="AX107" s="5">
        <v>458</v>
      </c>
      <c r="AY107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159651</v>
      </c>
      <c r="AZ107" s="59">
        <f>D107+H107+L107+P107+T107+X107+AB107+AF107+AJ107+AN107+AR107+AV107</f>
        <v>12772.08</v>
      </c>
      <c r="BA107" s="59">
        <f>E107+I107+M107+Q107+U107+Y107+AC107+AG107+AK107+AO107+AS107+AW107</f>
        <v>3193.02</v>
      </c>
      <c r="BB107" s="59">
        <f>F107+J107+N107+R107+V107+Z107+AD107+AH107+AL107+AP107+AT107+AX107</f>
        <v>5496</v>
      </c>
    </row>
    <row r="108" spans="1:54" x14ac:dyDescent="0.3">
      <c r="A108" s="43" t="s">
        <v>183</v>
      </c>
      <c r="B108" t="s">
        <v>150</v>
      </c>
      <c r="C108" s="46">
        <v>0</v>
      </c>
      <c r="D108" s="5">
        <f>Table1[[#This Row],[Jan_Projected_Pay]]*0.08</f>
        <v>0</v>
      </c>
      <c r="E108" s="5">
        <f>Table1[[#This Row],[Jan_Projected_Pay]]*0.02</f>
        <v>0</v>
      </c>
      <c r="F108" s="5">
        <v>458</v>
      </c>
      <c r="G108" s="45">
        <v>5483</v>
      </c>
      <c r="H108" s="5">
        <f>Table1[[#This Row],[Feb_Projected_Pay]]*0.08</f>
        <v>438.64</v>
      </c>
      <c r="I108" s="5">
        <f>Table1[[#This Row],[Feb_Projected_Pay]]*0.02</f>
        <v>109.66</v>
      </c>
      <c r="J108" s="5">
        <v>458</v>
      </c>
      <c r="K108" s="45">
        <v>16517</v>
      </c>
      <c r="L108" s="5">
        <f>Table1[[#This Row],[Mar_Projected_Pay]]*0.08</f>
        <v>1321.3600000000001</v>
      </c>
      <c r="M108" s="5">
        <f>Table1[[#This Row],[Mar_Projected_Pay]]*0.02</f>
        <v>330.34000000000003</v>
      </c>
      <c r="N108" s="5">
        <v>458</v>
      </c>
      <c r="O108" s="45">
        <v>39797</v>
      </c>
      <c r="P108" s="5">
        <f>Table1[[#This Row],[Apr_Projected_Pay]]*0.08</f>
        <v>3183.76</v>
      </c>
      <c r="Q108" s="5">
        <f>Table1[[#This Row],[Apr_Projected_Pay]]*0.02</f>
        <v>795.94</v>
      </c>
      <c r="R108" s="5">
        <v>458</v>
      </c>
      <c r="S108" s="45">
        <v>35697</v>
      </c>
      <c r="T108" s="5">
        <f>Table1[[#This Row],[May_Projected_Pay]]*0.08</f>
        <v>2855.76</v>
      </c>
      <c r="U108" s="5">
        <f>Table1[[#This Row],[May_Projected_Pay]]*0.02</f>
        <v>713.94</v>
      </c>
      <c r="V108" s="5">
        <v>458</v>
      </c>
      <c r="W108" s="45">
        <v>61005</v>
      </c>
      <c r="X108" s="5">
        <f>Table1[[#This Row],[Jun_Projected_Pay]]*0.08</f>
        <v>4880.4000000000005</v>
      </c>
      <c r="Y108" s="5">
        <f>Table1[[#This Row],[Jun_Projected_Pay]]*0.02</f>
        <v>1220.1000000000001</v>
      </c>
      <c r="Z108" s="5">
        <v>458</v>
      </c>
      <c r="AA108" s="45">
        <v>26689</v>
      </c>
      <c r="AB108" s="5">
        <f>Table1[[#This Row],[Jul_Projected_Pay]]*0.08</f>
        <v>2135.12</v>
      </c>
      <c r="AC108" s="5">
        <f>Table1[[#This Row],[Jul_Projected_Pay]]*0.02</f>
        <v>533.78</v>
      </c>
      <c r="AD108" s="5">
        <v>458</v>
      </c>
      <c r="AE108" s="45">
        <v>47485</v>
      </c>
      <c r="AF108" s="5">
        <f>Table1[[#This Row],[Aug_Projected_Pay]]*0.08</f>
        <v>3798.8</v>
      </c>
      <c r="AG108" s="5">
        <f>Table1[[#This Row],[Aug_Projected_Pay]]*0.02</f>
        <v>949.7</v>
      </c>
      <c r="AH108" s="5">
        <v>458</v>
      </c>
      <c r="AI108" s="45">
        <v>69554</v>
      </c>
      <c r="AJ108" s="5">
        <f>Table1[[#This Row],[Sep_Projected_Pay]]*0.08</f>
        <v>5564.32</v>
      </c>
      <c r="AK108" s="5">
        <f>Table1[[#This Row],[Sep_Projected_Pay]]*0.02</f>
        <v>1391.08</v>
      </c>
      <c r="AL108" s="5">
        <v>458</v>
      </c>
      <c r="AM108" s="45">
        <v>20238</v>
      </c>
      <c r="AN108" s="5">
        <f>Table1[[#This Row],[Oct_Projected_Pay]]*0.08</f>
        <v>1619.04</v>
      </c>
      <c r="AO108" s="5">
        <f>Table1[[#This Row],[Oct_Projected_Pay]]*0.02</f>
        <v>404.76</v>
      </c>
      <c r="AP108" s="5">
        <v>458</v>
      </c>
      <c r="AQ108" s="45">
        <v>12401</v>
      </c>
      <c r="AR108" s="5">
        <f>Table1[[#This Row],[Nov_Projected_Pay]]*0.08</f>
        <v>992.08</v>
      </c>
      <c r="AS108" s="5">
        <f>Table1[[#This Row],[Nov_Projected_Pay]]*0.02</f>
        <v>248.02</v>
      </c>
      <c r="AT108" s="5">
        <v>458</v>
      </c>
      <c r="AU108" s="45">
        <v>7894</v>
      </c>
      <c r="AV108" s="5">
        <f>Table1[[#This Row],[Dec_Projected_Pay]]*0.08</f>
        <v>631.52</v>
      </c>
      <c r="AW108" s="5">
        <f>Table1[[#This Row],[Dec_Projected_Pay]]*0.02</f>
        <v>157.88</v>
      </c>
      <c r="AX108" s="5">
        <v>458</v>
      </c>
      <c r="AY108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342760</v>
      </c>
      <c r="AZ108" s="59">
        <f>D108+H108+L108+P108+T108+X108+AB108+AF108+AJ108+AN108+AR108+AV108</f>
        <v>27420.800000000003</v>
      </c>
      <c r="BA108" s="59">
        <f>E108+I108+M108+Q108+U108+Y108+AC108+AG108+AK108+AO108+AS108+AW108</f>
        <v>6855.2000000000007</v>
      </c>
      <c r="BB108" s="59">
        <f>F108+J108+N108+R108+V108+Z108+AD108+AH108+AL108+AP108+AT108+AX108</f>
        <v>5496</v>
      </c>
    </row>
    <row r="109" spans="1:54" x14ac:dyDescent="0.3">
      <c r="A109" s="30" t="s">
        <v>184</v>
      </c>
      <c r="B109" t="s">
        <v>150</v>
      </c>
      <c r="C109" s="46">
        <v>0</v>
      </c>
      <c r="D109" s="5">
        <f>Table1[[#This Row],[Jan_Projected_Pay]]*0.08</f>
        <v>0</v>
      </c>
      <c r="E109" s="5">
        <f>Table1[[#This Row],[Jan_Projected_Pay]]*0.02</f>
        <v>0</v>
      </c>
      <c r="F109" s="5">
        <v>458</v>
      </c>
      <c r="G109" s="45">
        <v>0</v>
      </c>
      <c r="H109" s="5">
        <f>Table1[[#This Row],[Feb_Projected_Pay]]*0.08</f>
        <v>0</v>
      </c>
      <c r="I109" s="5">
        <f>Table1[[#This Row],[Feb_Projected_Pay]]*0.02</f>
        <v>0</v>
      </c>
      <c r="J109" s="5">
        <v>458</v>
      </c>
      <c r="K109" s="45">
        <v>0</v>
      </c>
      <c r="L109" s="5">
        <f>Table1[[#This Row],[Mar_Projected_Pay]]*0.08</f>
        <v>0</v>
      </c>
      <c r="M109" s="5">
        <f>Table1[[#This Row],[Mar_Projected_Pay]]*0.02</f>
        <v>0</v>
      </c>
      <c r="N109" s="5">
        <v>458</v>
      </c>
      <c r="O109" s="45">
        <v>0</v>
      </c>
      <c r="P109" s="5">
        <f>Table1[[#This Row],[Apr_Projected_Pay]]*0.08</f>
        <v>0</v>
      </c>
      <c r="Q109" s="5">
        <f>Table1[[#This Row],[Apr_Projected_Pay]]*0.02</f>
        <v>0</v>
      </c>
      <c r="R109" s="5">
        <v>458</v>
      </c>
      <c r="S109" s="45">
        <v>0</v>
      </c>
      <c r="T109" s="5">
        <f>Table1[[#This Row],[May_Projected_Pay]]*0.08</f>
        <v>0</v>
      </c>
      <c r="U109" s="5">
        <f>Table1[[#This Row],[May_Projected_Pay]]*0.02</f>
        <v>0</v>
      </c>
      <c r="V109" s="5">
        <v>458</v>
      </c>
      <c r="W109" s="45">
        <v>0</v>
      </c>
      <c r="X109" s="5">
        <f>Table1[[#This Row],[Jun_Projected_Pay]]*0.08</f>
        <v>0</v>
      </c>
      <c r="Y109" s="5">
        <f>Table1[[#This Row],[Jun_Projected_Pay]]*0.02</f>
        <v>0</v>
      </c>
      <c r="Z109" s="5">
        <v>458</v>
      </c>
      <c r="AA109" s="45">
        <v>0</v>
      </c>
      <c r="AB109" s="5">
        <f>Table1[[#This Row],[Jul_Projected_Pay]]*0.08</f>
        <v>0</v>
      </c>
      <c r="AC109" s="5">
        <f>Table1[[#This Row],[Jul_Projected_Pay]]*0.02</f>
        <v>0</v>
      </c>
      <c r="AD109" s="5">
        <v>458</v>
      </c>
      <c r="AE109" s="45">
        <v>0</v>
      </c>
      <c r="AF109" s="5">
        <f>Table1[[#This Row],[Aug_Projected_Pay]]*0.08</f>
        <v>0</v>
      </c>
      <c r="AG109" s="5">
        <f>Table1[[#This Row],[Aug_Projected_Pay]]*0.02</f>
        <v>0</v>
      </c>
      <c r="AH109" s="5">
        <v>458</v>
      </c>
      <c r="AI109" s="45">
        <v>0</v>
      </c>
      <c r="AJ109" s="5">
        <f>Table1[[#This Row],[Sep_Projected_Pay]]*0.08</f>
        <v>0</v>
      </c>
      <c r="AK109" s="5">
        <f>Table1[[#This Row],[Sep_Projected_Pay]]*0.02</f>
        <v>0</v>
      </c>
      <c r="AL109" s="5">
        <v>458</v>
      </c>
      <c r="AM109" s="45">
        <v>0</v>
      </c>
      <c r="AN109" s="5">
        <f>Table1[[#This Row],[Oct_Projected_Pay]]*0.08</f>
        <v>0</v>
      </c>
      <c r="AO109" s="5">
        <f>Table1[[#This Row],[Oct_Projected_Pay]]*0.02</f>
        <v>0</v>
      </c>
      <c r="AP109" s="5">
        <v>458</v>
      </c>
      <c r="AQ109" s="45">
        <v>0</v>
      </c>
      <c r="AR109" s="5">
        <f>Table1[[#This Row],[Nov_Projected_Pay]]*0.08</f>
        <v>0</v>
      </c>
      <c r="AS109" s="5">
        <f>Table1[[#This Row],[Nov_Projected_Pay]]*0.02</f>
        <v>0</v>
      </c>
      <c r="AT109" s="5">
        <v>458</v>
      </c>
      <c r="AU109" s="45">
        <v>0</v>
      </c>
      <c r="AV109" s="5">
        <f>Table1[[#This Row],[Dec_Projected_Pay]]*0.08</f>
        <v>0</v>
      </c>
      <c r="AW109" s="5">
        <f>Table1[[#This Row],[Dec_Projected_Pay]]*0.02</f>
        <v>0</v>
      </c>
      <c r="AX109" s="5">
        <v>458</v>
      </c>
      <c r="AY109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0</v>
      </c>
      <c r="AZ109" s="59">
        <f>D109+H109+L109+P109+T109+X109+AB109+AF109+AJ109+AN109+AR109+AV109</f>
        <v>0</v>
      </c>
      <c r="BA109" s="59">
        <f>E109+I109+M109+Q109+U109+Y109+AC109+AG109+AK109+AO109+AS109+AW109</f>
        <v>0</v>
      </c>
      <c r="BB109" s="59">
        <f>F109+J109+N109+R109+V109+Z109+AD109+AH109+AL109+AP109+AT109+AX109</f>
        <v>5496</v>
      </c>
    </row>
    <row r="110" spans="1:54" x14ac:dyDescent="0.3">
      <c r="A110" s="30" t="s">
        <v>185</v>
      </c>
      <c r="B110" t="s">
        <v>130</v>
      </c>
      <c r="C110" s="46">
        <v>0</v>
      </c>
      <c r="D110" s="5">
        <f>Table1[[#This Row],[Jan_Projected_Pay]]*0.08</f>
        <v>0</v>
      </c>
      <c r="E110" s="5">
        <f>Table1[[#This Row],[Jan_Projected_Pay]]*0.02</f>
        <v>0</v>
      </c>
      <c r="F110" s="5">
        <v>0</v>
      </c>
      <c r="G110" s="45">
        <v>0</v>
      </c>
      <c r="H110" s="5">
        <f>Table1[[#This Row],[Feb_Projected_Pay]]*0.08</f>
        <v>0</v>
      </c>
      <c r="I110" s="5">
        <f>Table1[[#This Row],[Feb_Projected_Pay]]*0.02</f>
        <v>0</v>
      </c>
      <c r="J110" s="5">
        <v>0</v>
      </c>
      <c r="K110" s="45">
        <v>0</v>
      </c>
      <c r="L110" s="5">
        <f>Table1[[#This Row],[Mar_Projected_Pay]]*0.08</f>
        <v>0</v>
      </c>
      <c r="M110" s="5">
        <f>Table1[[#This Row],[Mar_Projected_Pay]]*0.02</f>
        <v>0</v>
      </c>
      <c r="N110" s="5">
        <v>0</v>
      </c>
      <c r="O110" s="45">
        <v>0</v>
      </c>
      <c r="P110" s="5">
        <f>Table1[[#This Row],[Apr_Projected_Pay]]*0.08</f>
        <v>0</v>
      </c>
      <c r="Q110" s="5">
        <f>Table1[[#This Row],[Apr_Projected_Pay]]*0.02</f>
        <v>0</v>
      </c>
      <c r="R110" s="5">
        <v>0</v>
      </c>
      <c r="S110" s="45">
        <v>0</v>
      </c>
      <c r="T110" s="5">
        <f>Table1[[#This Row],[May_Projected_Pay]]*0.08</f>
        <v>0</v>
      </c>
      <c r="U110" s="5">
        <f>Table1[[#This Row],[May_Projected_Pay]]*0.02</f>
        <v>0</v>
      </c>
      <c r="V110" s="5">
        <v>0</v>
      </c>
      <c r="W110" s="45">
        <v>0</v>
      </c>
      <c r="X110" s="5">
        <f>Table1[[#This Row],[Jun_Projected_Pay]]*0.08</f>
        <v>0</v>
      </c>
      <c r="Y110" s="5">
        <f>Table1[[#This Row],[Jun_Projected_Pay]]*0.02</f>
        <v>0</v>
      </c>
      <c r="Z110" s="5">
        <v>0</v>
      </c>
      <c r="AA110" s="45">
        <v>0</v>
      </c>
      <c r="AB110" s="5">
        <f>Table1[[#This Row],[Jul_Projected_Pay]]*0.08</f>
        <v>0</v>
      </c>
      <c r="AC110" s="5">
        <f>Table1[[#This Row],[Jul_Projected_Pay]]*0.02</f>
        <v>0</v>
      </c>
      <c r="AD110" s="5">
        <v>0</v>
      </c>
      <c r="AE110" s="45">
        <v>0</v>
      </c>
      <c r="AF110" s="5">
        <f>Table1[[#This Row],[Aug_Projected_Pay]]*0.08</f>
        <v>0</v>
      </c>
      <c r="AG110" s="5">
        <f>Table1[[#This Row],[Aug_Projected_Pay]]*0.02</f>
        <v>0</v>
      </c>
      <c r="AH110" s="5">
        <v>0</v>
      </c>
      <c r="AI110" s="45">
        <v>0</v>
      </c>
      <c r="AJ110" s="5">
        <f>Table1[[#This Row],[Sep_Projected_Pay]]*0.08</f>
        <v>0</v>
      </c>
      <c r="AK110" s="5">
        <f>Table1[[#This Row],[Sep_Projected_Pay]]*0.02</f>
        <v>0</v>
      </c>
      <c r="AL110" s="5">
        <v>0</v>
      </c>
      <c r="AM110" s="45">
        <v>0</v>
      </c>
      <c r="AN110" s="5">
        <f>Table1[[#This Row],[Oct_Projected_Pay]]*0.08</f>
        <v>0</v>
      </c>
      <c r="AO110" s="5">
        <f>Table1[[#This Row],[Oct_Projected_Pay]]*0.02</f>
        <v>0</v>
      </c>
      <c r="AP110" s="5">
        <v>0</v>
      </c>
      <c r="AQ110" s="45">
        <v>0</v>
      </c>
      <c r="AR110" s="5">
        <f>Table1[[#This Row],[Nov_Projected_Pay]]*0.08</f>
        <v>0</v>
      </c>
      <c r="AS110" s="5">
        <f>Table1[[#This Row],[Nov_Projected_Pay]]*0.02</f>
        <v>0</v>
      </c>
      <c r="AT110" s="5">
        <v>0</v>
      </c>
      <c r="AU110" s="45">
        <v>0</v>
      </c>
      <c r="AV110" s="5">
        <f>Table1[[#This Row],[Dec_Projected_Pay]]*0.08</f>
        <v>0</v>
      </c>
      <c r="AW110" s="5">
        <f>Table1[[#This Row],[Dec_Projected_Pay]]*0.02</f>
        <v>0</v>
      </c>
      <c r="AX110" s="5">
        <v>0</v>
      </c>
      <c r="AY110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0</v>
      </c>
      <c r="AZ110" s="59">
        <f>D110+H110+L110+P110+T110+X110+AB110+AF110+AJ110+AN110+AR110+AV110</f>
        <v>0</v>
      </c>
      <c r="BA110" s="59">
        <f>E110+I110+M110+Q110+U110+Y110+AC110+AG110+AK110+AO110+AS110+AW110</f>
        <v>0</v>
      </c>
      <c r="BB110" s="59">
        <f>F110+J110+N110+R110+V110+Z110+AD110+AH110+AL110+AP110+AT110+AX110</f>
        <v>0</v>
      </c>
    </row>
    <row r="111" spans="1:54" x14ac:dyDescent="0.3">
      <c r="A111" t="s">
        <v>186</v>
      </c>
      <c r="B111" t="s">
        <v>130</v>
      </c>
      <c r="C111" s="46">
        <v>0</v>
      </c>
      <c r="D111" s="5">
        <f>Table1[[#This Row],[Jan_Projected_Pay]]*0.08</f>
        <v>0</v>
      </c>
      <c r="E111" s="5">
        <f>Table1[[#This Row],[Jan_Projected_Pay]]*0.02</f>
        <v>0</v>
      </c>
      <c r="F111" s="5">
        <v>600</v>
      </c>
      <c r="G111" s="45">
        <v>2242.332069</v>
      </c>
      <c r="H111" s="5">
        <f>Table1[[#This Row],[Feb_Projected_Pay]]*0.08</f>
        <v>179.38656552</v>
      </c>
      <c r="I111" s="5">
        <f>Table1[[#This Row],[Feb_Projected_Pay]]*0.02</f>
        <v>44.846641380000001</v>
      </c>
      <c r="J111" s="5">
        <v>600</v>
      </c>
      <c r="K111" s="45">
        <v>5077.9268840000004</v>
      </c>
      <c r="L111" s="5">
        <f>Table1[[#This Row],[Mar_Projected_Pay]]*0.08</f>
        <v>406.23415072000006</v>
      </c>
      <c r="M111" s="5">
        <f>Table1[[#This Row],[Mar_Projected_Pay]]*0.02</f>
        <v>101.55853768000001</v>
      </c>
      <c r="N111" s="5">
        <v>600</v>
      </c>
      <c r="O111" s="45">
        <v>10321</v>
      </c>
      <c r="P111" s="5">
        <f>Table1[[#This Row],[Apr_Projected_Pay]]*0.08</f>
        <v>825.68000000000006</v>
      </c>
      <c r="Q111" s="5">
        <f>Table1[[#This Row],[Apr_Projected_Pay]]*0.02</f>
        <v>206.42000000000002</v>
      </c>
      <c r="R111" s="5">
        <v>600</v>
      </c>
      <c r="S111" s="45">
        <v>13192</v>
      </c>
      <c r="T111" s="5">
        <f>Table1[[#This Row],[May_Projected_Pay]]*0.08</f>
        <v>1055.3600000000001</v>
      </c>
      <c r="U111" s="5">
        <f>Table1[[#This Row],[May_Projected_Pay]]*0.02</f>
        <v>263.84000000000003</v>
      </c>
      <c r="V111" s="5">
        <v>600</v>
      </c>
      <c r="W111" s="45">
        <v>18256</v>
      </c>
      <c r="X111" s="5">
        <f>Table1[[#This Row],[Jun_Projected_Pay]]*0.08</f>
        <v>1460.48</v>
      </c>
      <c r="Y111" s="5">
        <f>Table1[[#This Row],[Jun_Projected_Pay]]*0.02</f>
        <v>365.12</v>
      </c>
      <c r="Z111" s="5">
        <v>600</v>
      </c>
      <c r="AA111" s="45">
        <v>15420</v>
      </c>
      <c r="AB111" s="5">
        <f>Table1[[#This Row],[Jul_Projected_Pay]]*0.08</f>
        <v>1233.6000000000001</v>
      </c>
      <c r="AC111" s="5">
        <f>Table1[[#This Row],[Jul_Projected_Pay]]*0.02</f>
        <v>308.40000000000003</v>
      </c>
      <c r="AD111" s="5">
        <v>600</v>
      </c>
      <c r="AE111" s="45">
        <v>11244</v>
      </c>
      <c r="AF111" s="5">
        <f>Table1[[#This Row],[Aug_Projected_Pay]]*0.08</f>
        <v>899.52</v>
      </c>
      <c r="AG111" s="5">
        <f>Table1[[#This Row],[Aug_Projected_Pay]]*0.02</f>
        <v>224.88</v>
      </c>
      <c r="AH111" s="5">
        <v>600</v>
      </c>
      <c r="AI111" s="45">
        <v>16225</v>
      </c>
      <c r="AJ111" s="5">
        <f>Table1[[#This Row],[Sep_Projected_Pay]]*0.08</f>
        <v>1298</v>
      </c>
      <c r="AK111" s="5">
        <f>Table1[[#This Row],[Sep_Projected_Pay]]*0.02</f>
        <v>324.5</v>
      </c>
      <c r="AL111" s="5">
        <v>600</v>
      </c>
      <c r="AM111" s="45">
        <v>27221</v>
      </c>
      <c r="AN111" s="5">
        <f>Table1[[#This Row],[Oct_Projected_Pay]]*0.08</f>
        <v>2177.6799999999998</v>
      </c>
      <c r="AO111" s="5">
        <f>Table1[[#This Row],[Oct_Projected_Pay]]*0.02</f>
        <v>544.41999999999996</v>
      </c>
      <c r="AP111" s="5">
        <v>600</v>
      </c>
      <c r="AQ111" s="45">
        <v>17555</v>
      </c>
      <c r="AR111" s="5">
        <f>Table1[[#This Row],[Nov_Projected_Pay]]*0.08</f>
        <v>1404.4</v>
      </c>
      <c r="AS111" s="5">
        <f>Table1[[#This Row],[Nov_Projected_Pay]]*0.02</f>
        <v>351.1</v>
      </c>
      <c r="AT111" s="5">
        <v>600</v>
      </c>
      <c r="AU111" s="45">
        <v>1789.843535</v>
      </c>
      <c r="AV111" s="5">
        <f>Table1[[#This Row],[Dec_Projected_Pay]]*0.08</f>
        <v>143.1874828</v>
      </c>
      <c r="AW111" s="5">
        <f>Table1[[#This Row],[Dec_Projected_Pay]]*0.02</f>
        <v>35.796870699999999</v>
      </c>
      <c r="AX111" s="5">
        <v>600</v>
      </c>
      <c r="AY111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138544.102488</v>
      </c>
      <c r="AZ111" s="59">
        <f>D111+H111+L111+P111+T111+X111+AB111+AF111+AJ111+AN111+AR111+AV111</f>
        <v>11083.52819904</v>
      </c>
      <c r="BA111" s="59">
        <f>E111+I111+M111+Q111+U111+Y111+AC111+AG111+AK111+AO111+AS111+AW111</f>
        <v>2770.88204976</v>
      </c>
      <c r="BB111" s="59">
        <f>F111+J111+N111+R111+V111+Z111+AD111+AH111+AL111+AP111+AT111+AX111</f>
        <v>7200</v>
      </c>
    </row>
    <row r="112" spans="1:54" x14ac:dyDescent="0.3">
      <c r="A112" t="s">
        <v>187</v>
      </c>
      <c r="B112" t="s">
        <v>188</v>
      </c>
      <c r="C112" s="46">
        <v>0</v>
      </c>
      <c r="D112" s="5">
        <f>Table1[[#This Row],[Jan_Projected_Pay]]*0.08</f>
        <v>0</v>
      </c>
      <c r="E112" s="5">
        <f>Table1[[#This Row],[Jan_Projected_Pay]]*0.02</f>
        <v>0</v>
      </c>
      <c r="F112" s="5">
        <v>600</v>
      </c>
      <c r="G112" s="45">
        <v>0</v>
      </c>
      <c r="H112" s="5">
        <f>Table1[[#This Row],[Feb_Projected_Pay]]*0.08</f>
        <v>0</v>
      </c>
      <c r="I112" s="5">
        <f>Table1[[#This Row],[Feb_Projected_Pay]]*0.02</f>
        <v>0</v>
      </c>
      <c r="J112" s="5">
        <v>600</v>
      </c>
      <c r="K112" s="45">
        <v>1196.58079</v>
      </c>
      <c r="L112" s="5">
        <f>Table1[[#This Row],[Mar_Projected_Pay]]*0.08</f>
        <v>95.726463199999998</v>
      </c>
      <c r="M112" s="5">
        <f>Table1[[#This Row],[Mar_Projected_Pay]]*0.02</f>
        <v>23.931615799999999</v>
      </c>
      <c r="N112" s="5">
        <v>600</v>
      </c>
      <c r="O112" s="45">
        <v>10126.693395</v>
      </c>
      <c r="P112" s="5">
        <f>Table1[[#This Row],[Apr_Projected_Pay]]*0.08</f>
        <v>810.13547160000007</v>
      </c>
      <c r="Q112" s="5">
        <f>Table1[[#This Row],[Apr_Projected_Pay]]*0.02</f>
        <v>202.53386790000002</v>
      </c>
      <c r="R112" s="5">
        <v>600</v>
      </c>
      <c r="S112" s="45">
        <v>2910.0040399999998</v>
      </c>
      <c r="T112" s="5">
        <f>Table1[[#This Row],[May_Projected_Pay]]*0.08</f>
        <v>232.80032319999998</v>
      </c>
      <c r="U112" s="5">
        <f>Table1[[#This Row],[May_Projected_Pay]]*0.02</f>
        <v>58.200080799999995</v>
      </c>
      <c r="V112" s="5">
        <v>600</v>
      </c>
      <c r="W112" s="45">
        <v>6954.2460060000003</v>
      </c>
      <c r="X112" s="5">
        <f>Table1[[#This Row],[Jun_Projected_Pay]]*0.08</f>
        <v>556.33968048000008</v>
      </c>
      <c r="Y112" s="5">
        <f>Table1[[#This Row],[Jun_Projected_Pay]]*0.02</f>
        <v>139.08492012000002</v>
      </c>
      <c r="Z112" s="5">
        <v>600</v>
      </c>
      <c r="AA112" s="45">
        <v>11813.771757</v>
      </c>
      <c r="AB112" s="5">
        <f>Table1[[#This Row],[Jul_Projected_Pay]]*0.08</f>
        <v>945.10174056000005</v>
      </c>
      <c r="AC112" s="5">
        <f>Table1[[#This Row],[Jul_Projected_Pay]]*0.02</f>
        <v>236.27543514000001</v>
      </c>
      <c r="AD112" s="5">
        <v>600</v>
      </c>
      <c r="AE112" s="45">
        <v>8895.4218170000004</v>
      </c>
      <c r="AF112" s="5">
        <f>Table1[[#This Row],[Aug_Projected_Pay]]*0.08</f>
        <v>711.63374536000003</v>
      </c>
      <c r="AG112" s="5">
        <f>Table1[[#This Row],[Aug_Projected_Pay]]*0.02</f>
        <v>177.90843634000001</v>
      </c>
      <c r="AH112" s="5">
        <v>600</v>
      </c>
      <c r="AI112" s="45">
        <v>11400.700002</v>
      </c>
      <c r="AJ112" s="5">
        <f>Table1[[#This Row],[Sep_Projected_Pay]]*0.08</f>
        <v>912.05600015999994</v>
      </c>
      <c r="AK112" s="5">
        <f>Table1[[#This Row],[Sep_Projected_Pay]]*0.02</f>
        <v>228.01400003999998</v>
      </c>
      <c r="AL112" s="5">
        <v>600</v>
      </c>
      <c r="AM112" s="45">
        <v>3106.0019619999998</v>
      </c>
      <c r="AN112" s="5">
        <f>Table1[[#This Row],[Oct_Projected_Pay]]*0.08</f>
        <v>248.48015695999999</v>
      </c>
      <c r="AO112" s="5">
        <f>Table1[[#This Row],[Oct_Projected_Pay]]*0.02</f>
        <v>62.120039239999997</v>
      </c>
      <c r="AP112" s="5">
        <v>600</v>
      </c>
      <c r="AQ112" s="45">
        <v>361.99082700000002</v>
      </c>
      <c r="AR112" s="5">
        <f>Table1[[#This Row],[Nov_Projected_Pay]]*0.08</f>
        <v>28.959266160000002</v>
      </c>
      <c r="AS112" s="5">
        <f>Table1[[#This Row],[Nov_Projected_Pay]]*0.02</f>
        <v>7.2398165400000005</v>
      </c>
      <c r="AT112" s="5">
        <v>600</v>
      </c>
      <c r="AU112" s="45">
        <v>7536.4479199999996</v>
      </c>
      <c r="AV112" s="5">
        <f>Table1[[#This Row],[Dec_Projected_Pay]]*0.08</f>
        <v>602.91583359999993</v>
      </c>
      <c r="AW112" s="5">
        <f>Table1[[#This Row],[Dec_Projected_Pay]]*0.02</f>
        <v>150.72895839999998</v>
      </c>
      <c r="AX112" s="5">
        <v>600</v>
      </c>
      <c r="AY112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64301.858516000008</v>
      </c>
      <c r="AZ112" s="59">
        <f>D112+H112+L112+P112+T112+X112+AB112+AF112+AJ112+AN112+AR112+AV112</f>
        <v>5144.1486812800003</v>
      </c>
      <c r="BA112" s="59">
        <f>E112+I112+M112+Q112+U112+Y112+AC112+AG112+AK112+AO112+AS112+AW112</f>
        <v>1286.0371703200001</v>
      </c>
      <c r="BB112" s="59">
        <f>F112+J112+N112+R112+V112+Z112+AD112+AH112+AL112+AP112+AT112+AX112</f>
        <v>7200</v>
      </c>
    </row>
    <row r="113" spans="1:54" x14ac:dyDescent="0.3">
      <c r="A113" t="s">
        <v>189</v>
      </c>
      <c r="B113" t="s">
        <v>188</v>
      </c>
      <c r="C113" s="46">
        <v>0</v>
      </c>
      <c r="D113" s="5">
        <f>Table1[[#This Row],[Jan_Projected_Pay]]*0.08</f>
        <v>0</v>
      </c>
      <c r="E113" s="5">
        <v>650</v>
      </c>
      <c r="F113" s="5">
        <v>650</v>
      </c>
      <c r="G113" s="45">
        <v>0</v>
      </c>
      <c r="H113" s="5">
        <f>Table1[[#This Row],[Feb_Projected_Pay]]*0.08</f>
        <v>0</v>
      </c>
      <c r="I113" s="5">
        <f>Table1[[#This Row],[Feb_Projected_Pay]]*0.02</f>
        <v>0</v>
      </c>
      <c r="J113" s="5">
        <v>650</v>
      </c>
      <c r="K113" s="45">
        <v>10230</v>
      </c>
      <c r="L113" s="5">
        <f>Table1[[#This Row],[Mar_Projected_Pay]]*0.08</f>
        <v>818.4</v>
      </c>
      <c r="M113" s="5">
        <f>Table1[[#This Row],[Mar_Projected_Pay]]*0.02</f>
        <v>204.6</v>
      </c>
      <c r="N113" s="5">
        <v>650</v>
      </c>
      <c r="O113" s="45">
        <v>15365</v>
      </c>
      <c r="P113" s="5">
        <f>Table1[[#This Row],[Apr_Projected_Pay]]*0.08</f>
        <v>1229.2</v>
      </c>
      <c r="Q113" s="5">
        <f>Table1[[#This Row],[Apr_Projected_Pay]]*0.02</f>
        <v>307.3</v>
      </c>
      <c r="R113" s="5">
        <v>650</v>
      </c>
      <c r="S113" s="45">
        <v>18265</v>
      </c>
      <c r="T113" s="5">
        <f>Table1[[#This Row],[May_Projected_Pay]]*0.08</f>
        <v>1461.2</v>
      </c>
      <c r="U113" s="5">
        <f>Table1[[#This Row],[May_Projected_Pay]]*0.02</f>
        <v>365.3</v>
      </c>
      <c r="V113" s="5">
        <v>650</v>
      </c>
      <c r="W113" s="45">
        <v>22320</v>
      </c>
      <c r="X113" s="5">
        <f>Table1[[#This Row],[Jun_Projected_Pay]]*0.08</f>
        <v>1785.6000000000001</v>
      </c>
      <c r="Y113" s="5">
        <f>Table1[[#This Row],[Jun_Projected_Pay]]*0.02</f>
        <v>446.40000000000003</v>
      </c>
      <c r="Z113" s="5">
        <v>650</v>
      </c>
      <c r="AA113" s="45">
        <v>21410</v>
      </c>
      <c r="AB113" s="5">
        <f>Table1[[#This Row],[Jul_Projected_Pay]]*0.08</f>
        <v>1712.8</v>
      </c>
      <c r="AC113" s="5">
        <f>Table1[[#This Row],[Jul_Projected_Pay]]*0.02</f>
        <v>428.2</v>
      </c>
      <c r="AD113" s="5">
        <v>650</v>
      </c>
      <c r="AE113" s="45">
        <v>18622</v>
      </c>
      <c r="AF113" s="5">
        <f>Table1[[#This Row],[Aug_Projected_Pay]]*0.08</f>
        <v>1489.76</v>
      </c>
      <c r="AG113" s="5">
        <f>Table1[[#This Row],[Aug_Projected_Pay]]*0.02</f>
        <v>372.44</v>
      </c>
      <c r="AH113" s="5">
        <v>650</v>
      </c>
      <c r="AI113" s="45">
        <v>28650</v>
      </c>
      <c r="AJ113" s="5">
        <f>Table1[[#This Row],[Sep_Projected_Pay]]*0.08</f>
        <v>2292</v>
      </c>
      <c r="AK113" s="5">
        <f>Table1[[#This Row],[Sep_Projected_Pay]]*0.02</f>
        <v>573</v>
      </c>
      <c r="AL113" s="5">
        <v>650</v>
      </c>
      <c r="AM113" s="45">
        <v>26541</v>
      </c>
      <c r="AN113" s="5">
        <v>12354</v>
      </c>
      <c r="AO113" s="5">
        <f>Table1[[#This Row],[Oct_Projected_Pay]]*0.02</f>
        <v>530.82000000000005</v>
      </c>
      <c r="AP113" s="5">
        <v>650</v>
      </c>
      <c r="AQ113" s="45">
        <v>11374</v>
      </c>
      <c r="AR113" s="5">
        <f>Table1[[#This Row],[Nov_Projected_Pay]]*0.08</f>
        <v>909.92000000000007</v>
      </c>
      <c r="AS113" s="5">
        <f>Table1[[#This Row],[Nov_Projected_Pay]]*0.02</f>
        <v>227.48000000000002</v>
      </c>
      <c r="AT113" s="5">
        <v>650</v>
      </c>
      <c r="AU113" s="45">
        <v>1905.433707955556</v>
      </c>
      <c r="AV113" s="5">
        <f>Table1[[#This Row],[Dec_Projected_Pay]]*0.08</f>
        <v>152.43469663644447</v>
      </c>
      <c r="AW113" s="5">
        <f>Table1[[#This Row],[Dec_Projected_Pay]]*0.02</f>
        <v>38.108674159111118</v>
      </c>
      <c r="AX113" s="5">
        <v>650</v>
      </c>
      <c r="AY113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174682.43370795556</v>
      </c>
      <c r="AZ113" s="59">
        <f>D113+H113+L113+P113+T113+X113+AB113+AF113+AJ113+AN113+AR113+AV113</f>
        <v>24205.31469663644</v>
      </c>
      <c r="BA113" s="59">
        <f>E113+I113+M113+Q113+U113+Y113+AC113+AG113+AK113+AO113+AS113+AW113</f>
        <v>4143.6486741591116</v>
      </c>
      <c r="BB113" s="59">
        <f>F113+J113+N113+R113+V113+Z113+AD113+AH113+AL113+AP113+AT113+AX113</f>
        <v>7800</v>
      </c>
    </row>
    <row r="114" spans="1:54" x14ac:dyDescent="0.3">
      <c r="A114" t="s">
        <v>190</v>
      </c>
      <c r="B114" t="s">
        <v>132</v>
      </c>
      <c r="C114" s="46">
        <v>1973.0795210000001</v>
      </c>
      <c r="D114" s="5">
        <f>Table1[[#This Row],[Jan_Projected_Pay]]*0.08</f>
        <v>157.84636168</v>
      </c>
      <c r="E114" s="5">
        <f>Table1[[#This Row],[Jan_Projected_Pay]]*0.02</f>
        <v>39.46159042</v>
      </c>
      <c r="F114" s="5">
        <v>458</v>
      </c>
      <c r="G114" s="45">
        <v>1973.0795210000001</v>
      </c>
      <c r="H114" s="5">
        <f>Table1[[#This Row],[Feb_Projected_Pay]]*0.08</f>
        <v>157.84636168</v>
      </c>
      <c r="I114" s="5">
        <f>Table1[[#This Row],[Feb_Projected_Pay]]*0.02</f>
        <v>39.46159042</v>
      </c>
      <c r="J114" s="5">
        <v>458</v>
      </c>
      <c r="K114" s="45">
        <v>27740</v>
      </c>
      <c r="L114" s="5">
        <f>Table1[[#This Row],[Mar_Projected_Pay]]*0.08</f>
        <v>2219.2000000000003</v>
      </c>
      <c r="M114" s="5">
        <f>Table1[[#This Row],[Mar_Projected_Pay]]*0.02</f>
        <v>554.80000000000007</v>
      </c>
      <c r="N114" s="5">
        <v>458</v>
      </c>
      <c r="O114" s="45">
        <v>47168</v>
      </c>
      <c r="P114" s="5">
        <f>Table1[[#This Row],[Apr_Projected_Pay]]*0.08</f>
        <v>3773.44</v>
      </c>
      <c r="Q114" s="5">
        <f>Table1[[#This Row],[Apr_Projected_Pay]]*0.02</f>
        <v>943.36</v>
      </c>
      <c r="R114" s="5">
        <v>458</v>
      </c>
      <c r="S114" s="45">
        <v>79910</v>
      </c>
      <c r="T114" s="5">
        <f>Table1[[#This Row],[May_Projected_Pay]]*0.08</f>
        <v>6392.8</v>
      </c>
      <c r="U114" s="5">
        <f>Table1[[#This Row],[May_Projected_Pay]]*0.02</f>
        <v>1598.2</v>
      </c>
      <c r="V114" s="5">
        <v>458</v>
      </c>
      <c r="W114" s="45">
        <v>85576</v>
      </c>
      <c r="X114" s="5">
        <f>Table1[[#This Row],[Jun_Projected_Pay]]*0.08</f>
        <v>6846.08</v>
      </c>
      <c r="Y114" s="5">
        <f>Table1[[#This Row],[Jun_Projected_Pay]]*0.02</f>
        <v>1711.52</v>
      </c>
      <c r="Z114" s="5">
        <v>458</v>
      </c>
      <c r="AA114" s="45">
        <v>16395</v>
      </c>
      <c r="AB114" s="5">
        <f>Table1[[#This Row],[Jul_Projected_Pay]]*0.08</f>
        <v>1311.6000000000001</v>
      </c>
      <c r="AC114" s="5">
        <f>Table1[[#This Row],[Jul_Projected_Pay]]*0.02</f>
        <v>327.90000000000003</v>
      </c>
      <c r="AD114" s="5">
        <v>458</v>
      </c>
      <c r="AE114" s="45">
        <v>9879</v>
      </c>
      <c r="AF114" s="5">
        <f>Table1[[#This Row],[Aug_Projected_Pay]]*0.08</f>
        <v>790.32</v>
      </c>
      <c r="AG114" s="5">
        <f>Table1[[#This Row],[Aug_Projected_Pay]]*0.02</f>
        <v>197.58</v>
      </c>
      <c r="AH114" s="5">
        <v>458</v>
      </c>
      <c r="AI114" s="45">
        <v>45565</v>
      </c>
      <c r="AJ114" s="5">
        <f>Table1[[#This Row],[Sep_Projected_Pay]]*0.08</f>
        <v>3645.2000000000003</v>
      </c>
      <c r="AK114" s="5">
        <f>Table1[[#This Row],[Sep_Projected_Pay]]*0.02</f>
        <v>911.30000000000007</v>
      </c>
      <c r="AL114" s="5">
        <v>458</v>
      </c>
      <c r="AM114" s="45">
        <v>7073</v>
      </c>
      <c r="AN114" s="5">
        <f>Table1[[#This Row],[Oct_Projected_Pay]]*0.08</f>
        <v>565.84</v>
      </c>
      <c r="AO114" s="5">
        <f>Table1[[#This Row],[Oct_Projected_Pay]]*0.02</f>
        <v>141.46</v>
      </c>
      <c r="AP114" s="5">
        <v>458</v>
      </c>
      <c r="AQ114" s="45">
        <v>1486</v>
      </c>
      <c r="AR114" s="5">
        <f>Table1[[#This Row],[Nov_Projected_Pay]]*0.08</f>
        <v>118.88</v>
      </c>
      <c r="AS114" s="5">
        <f>Table1[[#This Row],[Nov_Projected_Pay]]*0.02</f>
        <v>29.72</v>
      </c>
      <c r="AT114" s="5">
        <v>458</v>
      </c>
      <c r="AU114" s="45">
        <v>19073</v>
      </c>
      <c r="AV114" s="5">
        <f>Table1[[#This Row],[Dec_Projected_Pay]]*0.08</f>
        <v>1525.84</v>
      </c>
      <c r="AW114" s="5">
        <f>Table1[[#This Row],[Dec_Projected_Pay]]*0.02</f>
        <v>381.46</v>
      </c>
      <c r="AX114" s="5">
        <v>458</v>
      </c>
      <c r="AY114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343811.15904199996</v>
      </c>
      <c r="AZ114" s="59">
        <f>D114+H114+L114+P114+T114+X114+AB114+AF114+AJ114+AN114+AR114+AV114</f>
        <v>27504.892723360001</v>
      </c>
      <c r="BA114" s="59">
        <f>E114+I114+M114+Q114+U114+Y114+AC114+AG114+AK114+AO114+AS114+AW114</f>
        <v>6876.2231808400002</v>
      </c>
      <c r="BB114" s="59">
        <f>F114+J114+N114+R114+V114+Z114+AD114+AH114+AL114+AP114+AT114+AX114</f>
        <v>5496</v>
      </c>
    </row>
    <row r="115" spans="1:54" x14ac:dyDescent="0.3">
      <c r="A115" t="s">
        <v>191</v>
      </c>
      <c r="B115" t="s">
        <v>132</v>
      </c>
      <c r="C115" s="46">
        <v>15230</v>
      </c>
      <c r="D115" s="5">
        <f>Table1[[#This Row],[Jan_Projected_Pay]]*0.08</f>
        <v>1218.4000000000001</v>
      </c>
      <c r="E115" s="5">
        <f>Table1[[#This Row],[Jan_Projected_Pay]]*0.02</f>
        <v>304.60000000000002</v>
      </c>
      <c r="F115" s="5">
        <v>458</v>
      </c>
      <c r="G115" s="45">
        <v>14162</v>
      </c>
      <c r="H115" s="5">
        <f>Table1[[#This Row],[Feb_Projected_Pay]]*0.08</f>
        <v>1132.96</v>
      </c>
      <c r="I115" s="5">
        <f>Table1[[#This Row],[Feb_Projected_Pay]]*0.02</f>
        <v>283.24</v>
      </c>
      <c r="J115" s="5">
        <v>458</v>
      </c>
      <c r="K115" s="45">
        <v>55517</v>
      </c>
      <c r="L115" s="5">
        <f>Table1[[#This Row],[Mar_Projected_Pay]]*0.08</f>
        <v>4441.3599999999997</v>
      </c>
      <c r="M115" s="5">
        <f>Table1[[#This Row],[Mar_Projected_Pay]]*0.02</f>
        <v>1110.3399999999999</v>
      </c>
      <c r="N115" s="5">
        <v>458</v>
      </c>
      <c r="O115" s="45">
        <v>94502</v>
      </c>
      <c r="P115" s="5">
        <f>Table1[[#This Row],[Apr_Projected_Pay]]*0.08</f>
        <v>7560.16</v>
      </c>
      <c r="Q115" s="5">
        <f>Table1[[#This Row],[Apr_Projected_Pay]]*0.02</f>
        <v>1890.04</v>
      </c>
      <c r="R115" s="5">
        <v>458</v>
      </c>
      <c r="S115" s="45">
        <v>132125</v>
      </c>
      <c r="T115" s="5">
        <f>Table1[[#This Row],[May_Projected_Pay]]*0.08</f>
        <v>10570</v>
      </c>
      <c r="U115" s="5">
        <f>Table1[[#This Row],[May_Projected_Pay]]*0.02</f>
        <v>2642.5</v>
      </c>
      <c r="V115" s="5">
        <v>458</v>
      </c>
      <c r="W115" s="45">
        <v>80608</v>
      </c>
      <c r="X115" s="5">
        <f>Table1[[#This Row],[Jun_Projected_Pay]]*0.08</f>
        <v>6448.64</v>
      </c>
      <c r="Y115" s="5">
        <f>Table1[[#This Row],[Jun_Projected_Pay]]*0.02</f>
        <v>1612.16</v>
      </c>
      <c r="Z115" s="5">
        <v>458</v>
      </c>
      <c r="AA115" s="45">
        <v>162347</v>
      </c>
      <c r="AB115" s="5">
        <f>Table1[[#This Row],[Jul_Projected_Pay]]*0.08</f>
        <v>12987.76</v>
      </c>
      <c r="AC115" s="5">
        <f>Table1[[#This Row],[Jul_Projected_Pay]]*0.02</f>
        <v>3246.94</v>
      </c>
      <c r="AD115" s="5">
        <v>458</v>
      </c>
      <c r="AE115" s="45">
        <v>67742</v>
      </c>
      <c r="AF115" s="5">
        <f>Table1[[#This Row],[Aug_Projected_Pay]]*0.08</f>
        <v>5419.36</v>
      </c>
      <c r="AG115" s="5">
        <f>Table1[[#This Row],[Aug_Projected_Pay]]*0.02</f>
        <v>1354.84</v>
      </c>
      <c r="AH115" s="5">
        <v>458</v>
      </c>
      <c r="AI115" s="45">
        <v>102224</v>
      </c>
      <c r="AJ115" s="5">
        <f>Table1[[#This Row],[Sep_Projected_Pay]]*0.08</f>
        <v>8177.92</v>
      </c>
      <c r="AK115" s="5">
        <f>Table1[[#This Row],[Sep_Projected_Pay]]*0.02</f>
        <v>2044.48</v>
      </c>
      <c r="AL115" s="5">
        <v>458</v>
      </c>
      <c r="AM115" s="45">
        <v>105366</v>
      </c>
      <c r="AN115" s="5">
        <f>Table1[[#This Row],[Oct_Projected_Pay]]*0.08</f>
        <v>8429.2800000000007</v>
      </c>
      <c r="AO115" s="5">
        <f>Table1[[#This Row],[Oct_Projected_Pay]]*0.02</f>
        <v>2107.3200000000002</v>
      </c>
      <c r="AP115" s="5">
        <v>458</v>
      </c>
      <c r="AQ115" s="45">
        <v>9459.48</v>
      </c>
      <c r="AR115" s="5">
        <f>Table1[[#This Row],[Nov_Projected_Pay]]*0.08</f>
        <v>756.75839999999994</v>
      </c>
      <c r="AS115" s="5">
        <f>Table1[[#This Row],[Nov_Projected_Pay]]*0.02</f>
        <v>189.18959999999998</v>
      </c>
      <c r="AT115" s="5">
        <v>458</v>
      </c>
      <c r="AU115" s="45">
        <v>9134.4363159999994</v>
      </c>
      <c r="AV115" s="5">
        <f>Table1[[#This Row],[Dec_Projected_Pay]]*0.08</f>
        <v>730.75490528</v>
      </c>
      <c r="AW115" s="5">
        <f>Table1[[#This Row],[Dec_Projected_Pay]]*0.02</f>
        <v>182.68872632</v>
      </c>
      <c r="AX115" s="5">
        <v>458</v>
      </c>
      <c r="AY115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848416.91631600005</v>
      </c>
      <c r="AZ115" s="59">
        <f>D115+H115+L115+P115+T115+X115+AB115+AF115+AJ115+AN115+AR115+AV115</f>
        <v>67873.353305280005</v>
      </c>
      <c r="BA115" s="59">
        <f>E115+I115+M115+Q115+U115+Y115+AC115+AG115+AK115+AO115+AS115+AW115</f>
        <v>16968.338326320001</v>
      </c>
      <c r="BB115" s="59">
        <f>F115+J115+N115+R115+V115+Z115+AD115+AH115+AL115+AP115+AT115+AX115</f>
        <v>5496</v>
      </c>
    </row>
    <row r="116" spans="1:54" x14ac:dyDescent="0.3">
      <c r="A116" t="s">
        <v>192</v>
      </c>
      <c r="B116" t="s">
        <v>132</v>
      </c>
      <c r="C116" s="46">
        <v>15240</v>
      </c>
      <c r="D116" s="5">
        <f>Table1[[#This Row],[Jan_Projected_Pay]]*0.08</f>
        <v>1219.2</v>
      </c>
      <c r="E116" s="5">
        <f>Table1[[#This Row],[Jan_Projected_Pay]]*0.02</f>
        <v>304.8</v>
      </c>
      <c r="F116" s="5">
        <v>458</v>
      </c>
      <c r="G116" s="45">
        <v>0</v>
      </c>
      <c r="H116" s="5">
        <f>Table1[[#This Row],[Feb_Projected_Pay]]*0.08</f>
        <v>0</v>
      </c>
      <c r="I116" s="5">
        <f>Table1[[#This Row],[Feb_Projected_Pay]]*0.02</f>
        <v>0</v>
      </c>
      <c r="J116" s="5">
        <v>458</v>
      </c>
      <c r="K116" s="45">
        <v>0</v>
      </c>
      <c r="L116" s="5">
        <f>Table1[[#This Row],[Mar_Projected_Pay]]*0.08</f>
        <v>0</v>
      </c>
      <c r="M116" s="5">
        <f>Table1[[#This Row],[Mar_Projected_Pay]]*0.02</f>
        <v>0</v>
      </c>
      <c r="N116" s="5">
        <v>458</v>
      </c>
      <c r="O116" s="45">
        <v>39110</v>
      </c>
      <c r="P116" s="5">
        <f>Table1[[#This Row],[Apr_Projected_Pay]]*0.08</f>
        <v>3128.8</v>
      </c>
      <c r="Q116" s="5">
        <f>Table1[[#This Row],[Apr_Projected_Pay]]*0.02</f>
        <v>782.2</v>
      </c>
      <c r="R116" s="5">
        <v>458</v>
      </c>
      <c r="S116" s="45">
        <v>155502.43087800001</v>
      </c>
      <c r="T116" s="5">
        <f>Table1[[#This Row],[May_Projected_Pay]]*0.08</f>
        <v>12440.194470240001</v>
      </c>
      <c r="U116" s="5">
        <f>Table1[[#This Row],[May_Projected_Pay]]*0.02</f>
        <v>3110.0486175600004</v>
      </c>
      <c r="V116" s="5">
        <v>458</v>
      </c>
      <c r="W116" s="45">
        <v>96154</v>
      </c>
      <c r="X116" s="5">
        <f>Table1[[#This Row],[Jun_Projected_Pay]]*0.08</f>
        <v>7692.32</v>
      </c>
      <c r="Y116" s="5">
        <f>Table1[[#This Row],[Jun_Projected_Pay]]*0.02</f>
        <v>1923.08</v>
      </c>
      <c r="Z116" s="5">
        <v>458</v>
      </c>
      <c r="AA116" s="45">
        <v>84095</v>
      </c>
      <c r="AB116" s="5">
        <f>Table1[[#This Row],[Jul_Projected_Pay]]*0.08</f>
        <v>6727.6</v>
      </c>
      <c r="AC116" s="5">
        <f>Table1[[#This Row],[Jul_Projected_Pay]]*0.02</f>
        <v>1681.9</v>
      </c>
      <c r="AD116" s="5">
        <v>458</v>
      </c>
      <c r="AE116" s="45">
        <v>74738</v>
      </c>
      <c r="AF116" s="5">
        <f>Table1[[#This Row],[Aug_Projected_Pay]]*0.08</f>
        <v>5979.04</v>
      </c>
      <c r="AG116" s="5">
        <f>Table1[[#This Row],[Aug_Projected_Pay]]*0.02</f>
        <v>1494.76</v>
      </c>
      <c r="AH116" s="5">
        <v>458</v>
      </c>
      <c r="AI116" s="45">
        <v>135613</v>
      </c>
      <c r="AJ116" s="5">
        <f>Table1[[#This Row],[Sep_Projected_Pay]]*0.08</f>
        <v>10849.04</v>
      </c>
      <c r="AK116" s="5">
        <f>Table1[[#This Row],[Sep_Projected_Pay]]*0.02</f>
        <v>2712.26</v>
      </c>
      <c r="AL116" s="5">
        <v>458</v>
      </c>
      <c r="AM116" s="45">
        <v>56448</v>
      </c>
      <c r="AN116" s="5">
        <f>Table1[[#This Row],[Oct_Projected_Pay]]*0.08</f>
        <v>4515.84</v>
      </c>
      <c r="AO116" s="5">
        <f>Table1[[#This Row],[Oct_Projected_Pay]]*0.02</f>
        <v>1128.96</v>
      </c>
      <c r="AP116" s="5">
        <v>458</v>
      </c>
      <c r="AQ116" s="45">
        <v>44694.886789999997</v>
      </c>
      <c r="AR116" s="5">
        <f>Table1[[#This Row],[Nov_Projected_Pay]]*0.08</f>
        <v>3575.5909431999999</v>
      </c>
      <c r="AS116" s="5">
        <f>Table1[[#This Row],[Nov_Projected_Pay]]*0.02</f>
        <v>893.89773579999996</v>
      </c>
      <c r="AT116" s="5">
        <v>458</v>
      </c>
      <c r="AU116" s="45">
        <v>36442</v>
      </c>
      <c r="AV116" s="5">
        <f>Table1[[#This Row],[Dec_Projected_Pay]]*0.08</f>
        <v>2915.36</v>
      </c>
      <c r="AW116" s="5">
        <f>Table1[[#This Row],[Dec_Projected_Pay]]*0.02</f>
        <v>728.84</v>
      </c>
      <c r="AX116" s="5">
        <v>458</v>
      </c>
      <c r="AY116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738037.317668</v>
      </c>
      <c r="AZ116" s="59">
        <f>D116+H116+L116+P116+T116+X116+AB116+AF116+AJ116+AN116+AR116+AV116</f>
        <v>59042.985413440001</v>
      </c>
      <c r="BA116" s="59">
        <f>E116+I116+M116+Q116+U116+Y116+AC116+AG116+AK116+AO116+AS116+AW116</f>
        <v>14760.74635336</v>
      </c>
      <c r="BB116" s="59">
        <f>F116+J116+N116+R116+V116+Z116+AD116+AH116+AL116+AP116+AT116+AX116</f>
        <v>5496</v>
      </c>
    </row>
    <row r="117" spans="1:54" x14ac:dyDescent="0.3">
      <c r="A117" t="s">
        <v>193</v>
      </c>
      <c r="B117" t="s">
        <v>194</v>
      </c>
      <c r="C117" s="46">
        <v>21625.935344000001</v>
      </c>
      <c r="D117" s="5">
        <f>Table1[[#This Row],[Jan_Projected_Pay]]*0.08</f>
        <v>1730.0748275200001</v>
      </c>
      <c r="E117" s="5">
        <f>Table1[[#This Row],[Jan_Projected_Pay]]*0.02</f>
        <v>432.51870688000002</v>
      </c>
      <c r="F117" s="5">
        <v>458</v>
      </c>
      <c r="G117" s="45">
        <v>39043</v>
      </c>
      <c r="H117" s="5">
        <f>Table1[[#This Row],[Feb_Projected_Pay]]*0.08</f>
        <v>3123.44</v>
      </c>
      <c r="I117" s="5">
        <f>Table1[[#This Row],[Feb_Projected_Pay]]*0.02</f>
        <v>780.86</v>
      </c>
      <c r="J117" s="5">
        <v>458</v>
      </c>
      <c r="K117" s="45">
        <v>98879</v>
      </c>
      <c r="L117" s="5">
        <f>Table1[[#This Row],[Mar_Projected_Pay]]*0.08</f>
        <v>7910.3200000000006</v>
      </c>
      <c r="M117" s="5">
        <f>Table1[[#This Row],[Mar_Projected_Pay]]*0.02</f>
        <v>1977.5800000000002</v>
      </c>
      <c r="N117" s="5">
        <v>458</v>
      </c>
      <c r="O117" s="45">
        <v>67289</v>
      </c>
      <c r="P117" s="5">
        <f>Table1[[#This Row],[Apr_Projected_Pay]]*0.08</f>
        <v>5383.12</v>
      </c>
      <c r="Q117" s="5">
        <f>Table1[[#This Row],[Apr_Projected_Pay]]*0.02</f>
        <v>1345.78</v>
      </c>
      <c r="R117" s="5">
        <v>458</v>
      </c>
      <c r="S117" s="45">
        <v>106981</v>
      </c>
      <c r="T117" s="5">
        <f>Table1[[#This Row],[May_Projected_Pay]]*0.08</f>
        <v>8558.48</v>
      </c>
      <c r="U117" s="5">
        <f>Table1[[#This Row],[May_Projected_Pay]]*0.02</f>
        <v>2139.62</v>
      </c>
      <c r="V117" s="5">
        <v>458</v>
      </c>
      <c r="W117" s="45">
        <v>84136</v>
      </c>
      <c r="X117" s="5">
        <f>Table1[[#This Row],[Jun_Projected_Pay]]*0.08</f>
        <v>6730.88</v>
      </c>
      <c r="Y117" s="5">
        <f>Table1[[#This Row],[Jun_Projected_Pay]]*0.02</f>
        <v>1682.72</v>
      </c>
      <c r="Z117" s="5">
        <v>458</v>
      </c>
      <c r="AA117" s="45">
        <v>50661</v>
      </c>
      <c r="AB117" s="5">
        <f>Table1[[#This Row],[Jul_Projected_Pay]]*0.08</f>
        <v>4052.88</v>
      </c>
      <c r="AC117" s="5">
        <f>Table1[[#This Row],[Jul_Projected_Pay]]*0.02</f>
        <v>1013.22</v>
      </c>
      <c r="AD117" s="5">
        <v>458</v>
      </c>
      <c r="AE117" s="45">
        <v>58079</v>
      </c>
      <c r="AF117" s="5">
        <f>Table1[[#This Row],[Aug_Projected_Pay]]*0.08</f>
        <v>4646.32</v>
      </c>
      <c r="AG117" s="5">
        <f>Table1[[#This Row],[Aug_Projected_Pay]]*0.02</f>
        <v>1161.58</v>
      </c>
      <c r="AH117" s="5">
        <v>458</v>
      </c>
      <c r="AI117" s="45">
        <v>60218</v>
      </c>
      <c r="AJ117" s="5">
        <f>Table1[[#This Row],[Sep_Projected_Pay]]*0.08</f>
        <v>4817.4400000000005</v>
      </c>
      <c r="AK117" s="5">
        <f>Table1[[#This Row],[Sep_Projected_Pay]]*0.02</f>
        <v>1204.3600000000001</v>
      </c>
      <c r="AL117" s="5">
        <v>458</v>
      </c>
      <c r="AM117" s="45">
        <v>70819</v>
      </c>
      <c r="AN117" s="5">
        <f>Table1[[#This Row],[Oct_Projected_Pay]]*0.08</f>
        <v>5665.52</v>
      </c>
      <c r="AO117" s="5">
        <f>Table1[[#This Row],[Oct_Projected_Pay]]*0.02</f>
        <v>1416.38</v>
      </c>
      <c r="AP117" s="5">
        <v>458</v>
      </c>
      <c r="AQ117" s="45">
        <v>58740</v>
      </c>
      <c r="AR117" s="5">
        <f>Table1[[#This Row],[Nov_Projected_Pay]]*0.08</f>
        <v>4699.2</v>
      </c>
      <c r="AS117" s="5">
        <f>Table1[[#This Row],[Nov_Projected_Pay]]*0.02</f>
        <v>1174.8</v>
      </c>
      <c r="AT117" s="5">
        <v>458</v>
      </c>
      <c r="AU117" s="45">
        <v>25830</v>
      </c>
      <c r="AV117" s="5">
        <f>Table1[[#This Row],[Dec_Projected_Pay]]*0.08</f>
        <v>2066.4</v>
      </c>
      <c r="AW117" s="5">
        <f>Table1[[#This Row],[Dec_Projected_Pay]]*0.02</f>
        <v>516.6</v>
      </c>
      <c r="AX117" s="5">
        <v>458</v>
      </c>
      <c r="AY117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742300.935344</v>
      </c>
      <c r="AZ117" s="59">
        <f>D117+H117+L117+P117+T117+X117+AB117+AF117+AJ117+AN117+AR117+AV117</f>
        <v>59384.074827519995</v>
      </c>
      <c r="BA117" s="59">
        <f>E117+I117+M117+Q117+U117+Y117+AC117+AG117+AK117+AO117+AS117+AW117</f>
        <v>14846.018706879999</v>
      </c>
      <c r="BB117" s="59">
        <f>F117+J117+N117+R117+V117+Z117+AD117+AH117+AL117+AP117+AT117+AX117</f>
        <v>5496</v>
      </c>
    </row>
    <row r="118" spans="1:54" x14ac:dyDescent="0.3">
      <c r="A118" s="30" t="s">
        <v>195</v>
      </c>
      <c r="B118" t="s">
        <v>194</v>
      </c>
      <c r="C118" s="46">
        <v>0</v>
      </c>
      <c r="D118" s="5">
        <f>Table1[[#This Row],[Jan_Projected_Pay]]*0.08</f>
        <v>0</v>
      </c>
      <c r="E118" s="5">
        <f>Table1[[#This Row],[Jan_Projected_Pay]]*0.02</f>
        <v>0</v>
      </c>
      <c r="F118" s="5">
        <v>458</v>
      </c>
      <c r="G118" s="45">
        <v>0</v>
      </c>
      <c r="H118" s="5">
        <f>Table1[[#This Row],[Feb_Projected_Pay]]*0.08</f>
        <v>0</v>
      </c>
      <c r="I118" s="5">
        <f>Table1[[#This Row],[Feb_Projected_Pay]]*0.02</f>
        <v>0</v>
      </c>
      <c r="J118" s="5">
        <v>458</v>
      </c>
      <c r="K118" s="45">
        <v>0</v>
      </c>
      <c r="L118" s="5">
        <f>Table1[[#This Row],[Mar_Projected_Pay]]*0.08</f>
        <v>0</v>
      </c>
      <c r="M118" s="5">
        <f>Table1[[#This Row],[Mar_Projected_Pay]]*0.02</f>
        <v>0</v>
      </c>
      <c r="N118" s="5">
        <v>458</v>
      </c>
      <c r="O118" s="45">
        <v>0</v>
      </c>
      <c r="P118" s="5">
        <f>Table1[[#This Row],[Apr_Projected_Pay]]*0.08</f>
        <v>0</v>
      </c>
      <c r="Q118" s="5">
        <f>Table1[[#This Row],[Apr_Projected_Pay]]*0.02</f>
        <v>0</v>
      </c>
      <c r="R118" s="5">
        <v>458</v>
      </c>
      <c r="S118" s="45">
        <v>0</v>
      </c>
      <c r="T118" s="5">
        <f>Table1[[#This Row],[May_Projected_Pay]]*0.08</f>
        <v>0</v>
      </c>
      <c r="U118" s="5">
        <f>Table1[[#This Row],[May_Projected_Pay]]*0.02</f>
        <v>0</v>
      </c>
      <c r="V118" s="5">
        <v>458</v>
      </c>
      <c r="W118" s="45">
        <v>0</v>
      </c>
      <c r="X118" s="5">
        <f>Table1[[#This Row],[Jun_Projected_Pay]]*0.08</f>
        <v>0</v>
      </c>
      <c r="Y118" s="5">
        <f>Table1[[#This Row],[Jun_Projected_Pay]]*0.02</f>
        <v>0</v>
      </c>
      <c r="Z118" s="5">
        <v>458</v>
      </c>
      <c r="AA118" s="45">
        <v>0</v>
      </c>
      <c r="AB118" s="5">
        <f>Table1[[#This Row],[Jul_Projected_Pay]]*0.08</f>
        <v>0</v>
      </c>
      <c r="AC118" s="5">
        <f>Table1[[#This Row],[Jul_Projected_Pay]]*0.02</f>
        <v>0</v>
      </c>
      <c r="AD118" s="5">
        <v>458</v>
      </c>
      <c r="AE118" s="45">
        <v>0</v>
      </c>
      <c r="AF118" s="5">
        <f>Table1[[#This Row],[Aug_Projected_Pay]]*0.08</f>
        <v>0</v>
      </c>
      <c r="AG118" s="5">
        <f>Table1[[#This Row],[Aug_Projected_Pay]]*0.02</f>
        <v>0</v>
      </c>
      <c r="AH118" s="5">
        <v>458</v>
      </c>
      <c r="AI118" s="45">
        <v>0</v>
      </c>
      <c r="AJ118" s="5">
        <f>Table1[[#This Row],[Sep_Projected_Pay]]*0.08</f>
        <v>0</v>
      </c>
      <c r="AK118" s="5">
        <f>Table1[[#This Row],[Sep_Projected_Pay]]*0.02</f>
        <v>0</v>
      </c>
      <c r="AL118" s="5">
        <v>458</v>
      </c>
      <c r="AM118" s="45">
        <v>0</v>
      </c>
      <c r="AN118" s="5">
        <f>Table1[[#This Row],[Oct_Projected_Pay]]*0.08</f>
        <v>0</v>
      </c>
      <c r="AO118" s="5">
        <f>Table1[[#This Row],[Oct_Projected_Pay]]*0.02</f>
        <v>0</v>
      </c>
      <c r="AP118" s="5">
        <v>458</v>
      </c>
      <c r="AQ118" s="45">
        <v>0</v>
      </c>
      <c r="AR118" s="5">
        <f>Table1[[#This Row],[Nov_Projected_Pay]]*0.08</f>
        <v>0</v>
      </c>
      <c r="AS118" s="5">
        <f>Table1[[#This Row],[Nov_Projected_Pay]]*0.02</f>
        <v>0</v>
      </c>
      <c r="AT118" s="5">
        <v>458</v>
      </c>
      <c r="AU118" s="45">
        <v>0</v>
      </c>
      <c r="AV118" s="5">
        <f>Table1[[#This Row],[Dec_Projected_Pay]]*0.08</f>
        <v>0</v>
      </c>
      <c r="AW118" s="5">
        <f>Table1[[#This Row],[Dec_Projected_Pay]]*0.02</f>
        <v>0</v>
      </c>
      <c r="AX118" s="5">
        <v>458</v>
      </c>
      <c r="AY118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0</v>
      </c>
      <c r="AZ118" s="59">
        <f>D118+H118+L118+P118+T118+X118+AB118+AF118+AJ118+AN118+AR118+AV118</f>
        <v>0</v>
      </c>
      <c r="BA118" s="59">
        <f>E118+I118+M118+Q118+U118+Y118+AC118+AG118+AK118+AO118+AS118+AW118</f>
        <v>0</v>
      </c>
      <c r="BB118" s="59">
        <f>F118+J118+N118+R118+V118+Z118+AD118+AH118+AL118+AP118+AT118+AX118</f>
        <v>5496</v>
      </c>
    </row>
    <row r="119" spans="1:54" x14ac:dyDescent="0.3">
      <c r="A119" s="3" t="s">
        <v>198</v>
      </c>
      <c r="B119" t="s">
        <v>128</v>
      </c>
      <c r="C119" s="46">
        <v>0</v>
      </c>
      <c r="D119" s="5">
        <f>Table1[[#This Row],[Jan_Projected_Pay]]*0.08</f>
        <v>0</v>
      </c>
      <c r="E119" s="5">
        <f>Table1[[#This Row],[Jan_Projected_Pay]]*0.02</f>
        <v>0</v>
      </c>
      <c r="F119" s="5">
        <v>0</v>
      </c>
      <c r="G119" s="45">
        <v>0</v>
      </c>
      <c r="H119" s="5">
        <f>Table1[[#This Row],[Feb_Projected_Pay]]*0.08</f>
        <v>0</v>
      </c>
      <c r="I119" s="5">
        <f>Table1[[#This Row],[Feb_Projected_Pay]]*0.02</f>
        <v>0</v>
      </c>
      <c r="J119" s="5">
        <v>0</v>
      </c>
      <c r="K119" s="45">
        <v>0</v>
      </c>
      <c r="L119" s="5">
        <f>Table1[[#This Row],[Mar_Projected_Pay]]*0.08</f>
        <v>0</v>
      </c>
      <c r="M119" s="5">
        <f>Table1[[#This Row],[Mar_Projected_Pay]]*0.02</f>
        <v>0</v>
      </c>
      <c r="N119" s="5">
        <v>0</v>
      </c>
      <c r="O119" s="45">
        <v>0</v>
      </c>
      <c r="P119" s="5">
        <f>Table1[[#This Row],[Apr_Projected_Pay]]*0.08</f>
        <v>0</v>
      </c>
      <c r="Q119" s="5">
        <f>Table1[[#This Row],[Apr_Projected_Pay]]*0.02</f>
        <v>0</v>
      </c>
      <c r="R119" s="5">
        <v>0</v>
      </c>
      <c r="S119" s="45">
        <v>0</v>
      </c>
      <c r="T119" s="5">
        <f>Table1[[#This Row],[May_Projected_Pay]]*0.08</f>
        <v>0</v>
      </c>
      <c r="U119" s="5">
        <f>Table1[[#This Row],[May_Projected_Pay]]*0.02</f>
        <v>0</v>
      </c>
      <c r="V119" s="5">
        <v>0</v>
      </c>
      <c r="W119" s="45">
        <v>0</v>
      </c>
      <c r="X119" s="5">
        <f>Table1[[#This Row],[Jun_Projected_Pay]]*0.08</f>
        <v>0</v>
      </c>
      <c r="Y119" s="5">
        <f>Table1[[#This Row],[Jun_Projected_Pay]]*0.02</f>
        <v>0</v>
      </c>
      <c r="Z119" s="5">
        <v>0</v>
      </c>
      <c r="AA119" s="45">
        <v>0</v>
      </c>
      <c r="AB119" s="5">
        <f>Table1[[#This Row],[Jul_Projected_Pay]]*0.08</f>
        <v>0</v>
      </c>
      <c r="AC119" s="5">
        <f>Table1[[#This Row],[Jul_Projected_Pay]]*0.02</f>
        <v>0</v>
      </c>
      <c r="AD119" s="5">
        <v>0</v>
      </c>
      <c r="AE119" s="45">
        <v>0</v>
      </c>
      <c r="AF119" s="5">
        <f>Table1[[#This Row],[Aug_Projected_Pay]]*0.08</f>
        <v>0</v>
      </c>
      <c r="AG119" s="5">
        <f>Table1[[#This Row],[Aug_Projected_Pay]]*0.02</f>
        <v>0</v>
      </c>
      <c r="AH119" s="5">
        <v>0</v>
      </c>
      <c r="AI119" s="45">
        <v>0</v>
      </c>
      <c r="AJ119" s="5">
        <f>Table1[[#This Row],[Sep_Projected_Pay]]*0.08</f>
        <v>0</v>
      </c>
      <c r="AK119" s="5">
        <f>Table1[[#This Row],[Sep_Projected_Pay]]*0.02</f>
        <v>0</v>
      </c>
      <c r="AL119" s="5">
        <v>0</v>
      </c>
      <c r="AM119" s="45">
        <v>0</v>
      </c>
      <c r="AN119" s="5">
        <f>Table1[[#This Row],[Oct_Projected_Pay]]*0.08</f>
        <v>0</v>
      </c>
      <c r="AO119" s="5">
        <f>Table1[[#This Row],[Oct_Projected_Pay]]*0.02</f>
        <v>0</v>
      </c>
      <c r="AP119" s="5">
        <v>0</v>
      </c>
      <c r="AQ119" s="45">
        <v>0</v>
      </c>
      <c r="AR119" s="5">
        <f>Table1[[#This Row],[Nov_Projected_Pay]]*0.08</f>
        <v>0</v>
      </c>
      <c r="AS119" s="5">
        <f>Table1[[#This Row],[Nov_Projected_Pay]]*0.02</f>
        <v>0</v>
      </c>
      <c r="AT119" s="5">
        <v>0</v>
      </c>
      <c r="AU119" s="45">
        <v>0</v>
      </c>
      <c r="AV119" s="5">
        <f>Table1[[#This Row],[Dec_Projected_Pay]]*0.08</f>
        <v>0</v>
      </c>
      <c r="AW119" s="5">
        <f>Table1[[#This Row],[Dec_Projected_Pay]]*0.02</f>
        <v>0</v>
      </c>
      <c r="AX119" s="5">
        <v>0</v>
      </c>
      <c r="AY119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0</v>
      </c>
      <c r="AZ119" s="59">
        <f>D119+H119+L119+P119+T119+X119+AB119+AF119+AJ119+AN119+AR119+AV119</f>
        <v>0</v>
      </c>
      <c r="BA119" s="59">
        <f>E119+I119+M119+Q119+U119+Y119+AC119+AG119+AK119+AO119+AS119+AW119</f>
        <v>0</v>
      </c>
      <c r="BB119" s="59">
        <f>F119+J119+N119+R119+V119+Z119+AD119+AH119+AL119+AP119+AT119+AX119</f>
        <v>0</v>
      </c>
    </row>
    <row r="120" spans="1:54" x14ac:dyDescent="0.3">
      <c r="A120" t="s">
        <v>197</v>
      </c>
      <c r="B120" t="s">
        <v>128</v>
      </c>
      <c r="C120" s="46">
        <v>2150</v>
      </c>
      <c r="D120" s="5">
        <f>Table1[[#This Row],[Jan_Projected_Pay]]*0.08</f>
        <v>172</v>
      </c>
      <c r="E120" s="5">
        <f>Table1[[#This Row],[Jan_Projected_Pay]]*0.02</f>
        <v>43</v>
      </c>
      <c r="F120" s="5">
        <v>356</v>
      </c>
      <c r="G120" s="45">
        <v>2575</v>
      </c>
      <c r="H120" s="5">
        <f>Table1[[#This Row],[Feb_Projected_Pay]]*0.08</f>
        <v>206</v>
      </c>
      <c r="I120" s="5">
        <f>Table1[[#This Row],[Feb_Projected_Pay]]*0.02</f>
        <v>51.5</v>
      </c>
      <c r="J120" s="5">
        <v>356</v>
      </c>
      <c r="K120" s="45">
        <v>10860</v>
      </c>
      <c r="L120" s="5">
        <f>Table1[[#This Row],[Mar_Projected_Pay]]*0.08</f>
        <v>868.80000000000007</v>
      </c>
      <c r="M120" s="5">
        <f>Table1[[#This Row],[Mar_Projected_Pay]]*0.02</f>
        <v>217.20000000000002</v>
      </c>
      <c r="N120" s="5">
        <v>356</v>
      </c>
      <c r="O120" s="45">
        <v>40681</v>
      </c>
      <c r="P120" s="5">
        <f>Table1[[#This Row],[Apr_Projected_Pay]]*0.08</f>
        <v>3254.48</v>
      </c>
      <c r="Q120" s="5">
        <f>Table1[[#This Row],[Apr_Projected_Pay]]*0.02</f>
        <v>813.62</v>
      </c>
      <c r="R120" s="5">
        <v>356</v>
      </c>
      <c r="S120" s="45">
        <v>26596</v>
      </c>
      <c r="T120" s="5">
        <f>Table1[[#This Row],[May_Projected_Pay]]*0.08</f>
        <v>2127.6799999999998</v>
      </c>
      <c r="U120" s="5">
        <f>Table1[[#This Row],[May_Projected_Pay]]*0.02</f>
        <v>531.91999999999996</v>
      </c>
      <c r="V120" s="5">
        <v>356</v>
      </c>
      <c r="W120" s="45">
        <v>35674</v>
      </c>
      <c r="X120" s="5">
        <f>Table1[[#This Row],[Jun_Projected_Pay]]*0.08</f>
        <v>2853.92</v>
      </c>
      <c r="Y120" s="5">
        <f>Table1[[#This Row],[Jun_Projected_Pay]]*0.02</f>
        <v>713.48</v>
      </c>
      <c r="Z120" s="5">
        <v>356</v>
      </c>
      <c r="AA120" s="45">
        <v>30266.455287000001</v>
      </c>
      <c r="AB120" s="5">
        <f>Table1[[#This Row],[Jul_Projected_Pay]]*0.08</f>
        <v>2421.3164229600002</v>
      </c>
      <c r="AC120" s="5">
        <f>Table1[[#This Row],[Jul_Projected_Pay]]*0.02</f>
        <v>605.32910574000005</v>
      </c>
      <c r="AD120" s="5">
        <v>356</v>
      </c>
      <c r="AE120" s="45">
        <v>14775</v>
      </c>
      <c r="AF120" s="5">
        <f>Table1[[#This Row],[Aug_Projected_Pay]]*0.08</f>
        <v>1182</v>
      </c>
      <c r="AG120" s="5">
        <f>Table1[[#This Row],[Aug_Projected_Pay]]*0.02</f>
        <v>295.5</v>
      </c>
      <c r="AH120" s="5">
        <v>356</v>
      </c>
      <c r="AI120" s="45">
        <v>44411.246866000001</v>
      </c>
      <c r="AJ120" s="5">
        <f>Table1[[#This Row],[Sep_Projected_Pay]]*0.08</f>
        <v>3552.8997492800004</v>
      </c>
      <c r="AK120" s="5">
        <f>Table1[[#This Row],[Sep_Projected_Pay]]*0.02</f>
        <v>888.22493732000009</v>
      </c>
      <c r="AL120" s="5">
        <v>356</v>
      </c>
      <c r="AM120" s="45">
        <v>17320</v>
      </c>
      <c r="AN120" s="5">
        <f>Table1[[#This Row],[Oct_Projected_Pay]]*0.08</f>
        <v>1385.6000000000001</v>
      </c>
      <c r="AO120" s="5">
        <f>Table1[[#This Row],[Oct_Projected_Pay]]*0.02</f>
        <v>346.40000000000003</v>
      </c>
      <c r="AP120" s="5">
        <v>356</v>
      </c>
      <c r="AQ120" s="45">
        <v>10775</v>
      </c>
      <c r="AR120" s="5">
        <f>Table1[[#This Row],[Nov_Projected_Pay]]*0.08</f>
        <v>862</v>
      </c>
      <c r="AS120" s="5">
        <f>Table1[[#This Row],[Nov_Projected_Pay]]*0.02</f>
        <v>215.5</v>
      </c>
      <c r="AT120" s="5">
        <v>356</v>
      </c>
      <c r="AU120" s="45">
        <v>1250</v>
      </c>
      <c r="AV120" s="5">
        <f>Table1[[#This Row],[Dec_Projected_Pay]]*0.08</f>
        <v>100</v>
      </c>
      <c r="AW120" s="5">
        <f>Table1[[#This Row],[Dec_Projected_Pay]]*0.02</f>
        <v>25</v>
      </c>
      <c r="AX120" s="5">
        <v>356</v>
      </c>
      <c r="AY120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237333.70215299999</v>
      </c>
      <c r="AZ120" s="59">
        <f>D120+H120+L120+P120+T120+X120+AB120+AF120+AJ120+AN120+AR120+AV120</f>
        <v>18986.696172240001</v>
      </c>
      <c r="BA120" s="59">
        <f>E120+I120+M120+Q120+U120+Y120+AC120+AG120+AK120+AO120+AS120+AW120</f>
        <v>4746.6740430600003</v>
      </c>
      <c r="BB120" s="59">
        <f>F120+J120+N120+R120+V120+Z120+AD120+AH120+AL120+AP120+AT120+AX120</f>
        <v>4272</v>
      </c>
    </row>
    <row r="121" spans="1:54" x14ac:dyDescent="0.3">
      <c r="A121" t="s">
        <v>199</v>
      </c>
      <c r="B121" t="s">
        <v>128</v>
      </c>
      <c r="C121" s="46">
        <v>11191.891626000001</v>
      </c>
      <c r="D121" s="5">
        <f>Table1[[#This Row],[Jan_Projected_Pay]]*0.08</f>
        <v>895.35133008000003</v>
      </c>
      <c r="E121" s="5">
        <f>Table1[[#This Row],[Jan_Projected_Pay]]*0.02</f>
        <v>223.83783252000001</v>
      </c>
      <c r="F121" s="5">
        <v>600</v>
      </c>
      <c r="G121" s="45">
        <v>2250</v>
      </c>
      <c r="H121" s="5">
        <f>Table1[[#This Row],[Feb_Projected_Pay]]*0.08</f>
        <v>180</v>
      </c>
      <c r="I121" s="5">
        <f>Table1[[#This Row],[Feb_Projected_Pay]]*0.02</f>
        <v>45</v>
      </c>
      <c r="J121" s="5">
        <v>600</v>
      </c>
      <c r="K121" s="45">
        <v>7376</v>
      </c>
      <c r="L121" s="5">
        <f>Table1[[#This Row],[Mar_Projected_Pay]]*0.08</f>
        <v>590.08000000000004</v>
      </c>
      <c r="M121" s="5">
        <f>Table1[[#This Row],[Mar_Projected_Pay]]*0.02</f>
        <v>147.52000000000001</v>
      </c>
      <c r="N121" s="5">
        <v>600</v>
      </c>
      <c r="O121" s="45">
        <v>18247</v>
      </c>
      <c r="P121" s="5">
        <f>Table1[[#This Row],[Apr_Projected_Pay]]*0.08</f>
        <v>1459.76</v>
      </c>
      <c r="Q121" s="5">
        <f>Table1[[#This Row],[Apr_Projected_Pay]]*0.02</f>
        <v>364.94</v>
      </c>
      <c r="R121" s="5">
        <v>600</v>
      </c>
      <c r="S121" s="45">
        <v>53456</v>
      </c>
      <c r="T121" s="5">
        <f>Table1[[#This Row],[May_Projected_Pay]]*0.08</f>
        <v>4276.4800000000005</v>
      </c>
      <c r="U121" s="5">
        <f>Table1[[#This Row],[May_Projected_Pay]]*0.02</f>
        <v>1069.1200000000001</v>
      </c>
      <c r="V121" s="5">
        <v>600</v>
      </c>
      <c r="W121" s="45">
        <v>21172</v>
      </c>
      <c r="X121" s="5">
        <f>Table1[[#This Row],[Jun_Projected_Pay]]*0.08</f>
        <v>1693.76</v>
      </c>
      <c r="Y121" s="5">
        <f>Table1[[#This Row],[Jun_Projected_Pay]]*0.02</f>
        <v>423.44</v>
      </c>
      <c r="Z121" s="5">
        <v>600</v>
      </c>
      <c r="AA121" s="45">
        <v>11846</v>
      </c>
      <c r="AB121" s="5">
        <f>Table1[[#This Row],[Jul_Projected_Pay]]*0.08</f>
        <v>947.68000000000006</v>
      </c>
      <c r="AC121" s="5">
        <f>Table1[[#This Row],[Jul_Projected_Pay]]*0.02</f>
        <v>236.92000000000002</v>
      </c>
      <c r="AD121" s="5">
        <v>600</v>
      </c>
      <c r="AE121" s="45">
        <v>46645</v>
      </c>
      <c r="AF121" s="5">
        <f>Table1[[#This Row],[Aug_Projected_Pay]]*0.08</f>
        <v>3731.6</v>
      </c>
      <c r="AG121" s="5">
        <f>Table1[[#This Row],[Aug_Projected_Pay]]*0.02</f>
        <v>932.9</v>
      </c>
      <c r="AH121" s="5">
        <v>600</v>
      </c>
      <c r="AI121" s="45">
        <v>61840</v>
      </c>
      <c r="AJ121" s="5">
        <f>Table1[[#This Row],[Sep_Projected_Pay]]*0.08</f>
        <v>4947.2</v>
      </c>
      <c r="AK121" s="5">
        <f>Table1[[#This Row],[Sep_Projected_Pay]]*0.02</f>
        <v>1236.8</v>
      </c>
      <c r="AL121" s="5">
        <v>600</v>
      </c>
      <c r="AM121" s="45">
        <v>29321</v>
      </c>
      <c r="AN121" s="5">
        <f>Table1[[#This Row],[Oct_Projected_Pay]]*0.08</f>
        <v>2345.6799999999998</v>
      </c>
      <c r="AO121" s="5">
        <f>Table1[[#This Row],[Oct_Projected_Pay]]*0.02</f>
        <v>586.41999999999996</v>
      </c>
      <c r="AP121" s="5">
        <v>600</v>
      </c>
      <c r="AQ121" s="45">
        <v>22498</v>
      </c>
      <c r="AR121" s="5">
        <f>Table1[[#This Row],[Nov_Projected_Pay]]*0.08</f>
        <v>1799.8400000000001</v>
      </c>
      <c r="AS121" s="5">
        <f>Table1[[#This Row],[Nov_Projected_Pay]]*0.02</f>
        <v>449.96000000000004</v>
      </c>
      <c r="AT121" s="5">
        <v>600</v>
      </c>
      <c r="AU121" s="45">
        <v>8632</v>
      </c>
      <c r="AV121" s="5">
        <f>Table1[[#This Row],[Dec_Projected_Pay]]*0.08</f>
        <v>690.56000000000006</v>
      </c>
      <c r="AW121" s="5">
        <f>Table1[[#This Row],[Dec_Projected_Pay]]*0.02</f>
        <v>172.64000000000001</v>
      </c>
      <c r="AX121" s="5">
        <v>600</v>
      </c>
      <c r="AY121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294474.891626</v>
      </c>
      <c r="AZ121" s="59">
        <f>D121+H121+L121+P121+T121+X121+AB121+AF121+AJ121+AN121+AR121+AV121</f>
        <v>23557.991330080004</v>
      </c>
      <c r="BA121" s="59">
        <f>E121+I121+M121+Q121+U121+Y121+AC121+AG121+AK121+AO121+AS121+AW121</f>
        <v>5889.4978325200009</v>
      </c>
      <c r="BB121" s="59">
        <f>F121+J121+N121+R121+V121+Z121+AD121+AH121+AL121+AP121+AT121+AX121</f>
        <v>7200</v>
      </c>
    </row>
    <row r="122" spans="1:54" x14ac:dyDescent="0.3">
      <c r="A122" t="s">
        <v>200</v>
      </c>
      <c r="B122" t="s">
        <v>201</v>
      </c>
      <c r="C122" s="46">
        <v>15976</v>
      </c>
      <c r="D122" s="5">
        <f>Table1[[#This Row],[Jan_Projected_Pay]]*0.08</f>
        <v>1278.08</v>
      </c>
      <c r="E122" s="5">
        <f>Table1[[#This Row],[Jan_Projected_Pay]]*0.02</f>
        <v>319.52</v>
      </c>
      <c r="F122" s="5">
        <v>458</v>
      </c>
      <c r="G122" s="45">
        <v>16542</v>
      </c>
      <c r="H122" s="5">
        <f>Table1[[#This Row],[Feb_Projected_Pay]]*0.08</f>
        <v>1323.3600000000001</v>
      </c>
      <c r="I122" s="5">
        <f>Table1[[#This Row],[Feb_Projected_Pay]]*0.02</f>
        <v>330.84000000000003</v>
      </c>
      <c r="J122" s="5">
        <v>458</v>
      </c>
      <c r="K122" s="45">
        <v>12343</v>
      </c>
      <c r="L122" s="5">
        <f>Table1[[#This Row],[Mar_Projected_Pay]]*0.08</f>
        <v>987.44</v>
      </c>
      <c r="M122" s="5">
        <f>Table1[[#This Row],[Mar_Projected_Pay]]*0.02</f>
        <v>246.86</v>
      </c>
      <c r="N122" s="5">
        <v>458</v>
      </c>
      <c r="O122" s="45">
        <v>30604</v>
      </c>
      <c r="P122" s="5">
        <f>Table1[[#This Row],[Apr_Projected_Pay]]*0.08</f>
        <v>2448.3200000000002</v>
      </c>
      <c r="Q122" s="5">
        <f>Table1[[#This Row],[Apr_Projected_Pay]]*0.02</f>
        <v>612.08000000000004</v>
      </c>
      <c r="R122" s="5">
        <v>458</v>
      </c>
      <c r="S122" s="45">
        <v>42378</v>
      </c>
      <c r="T122" s="5">
        <f>Table1[[#This Row],[May_Projected_Pay]]*0.08</f>
        <v>3390.2400000000002</v>
      </c>
      <c r="U122" s="5">
        <f>Table1[[#This Row],[May_Projected_Pay]]*0.02</f>
        <v>847.56000000000006</v>
      </c>
      <c r="V122" s="5">
        <v>458</v>
      </c>
      <c r="W122" s="45">
        <v>55418</v>
      </c>
      <c r="X122" s="5">
        <f>Table1[[#This Row],[Jun_Projected_Pay]]*0.08</f>
        <v>4433.4400000000005</v>
      </c>
      <c r="Y122" s="5">
        <f>Table1[[#This Row],[Jun_Projected_Pay]]*0.02</f>
        <v>1108.3600000000001</v>
      </c>
      <c r="Z122" s="5">
        <v>458</v>
      </c>
      <c r="AA122" s="45">
        <v>17953</v>
      </c>
      <c r="AB122" s="5">
        <f>Table1[[#This Row],[Jul_Projected_Pay]]*0.08</f>
        <v>1436.24</v>
      </c>
      <c r="AC122" s="5">
        <f>Table1[[#This Row],[Jul_Projected_Pay]]*0.02</f>
        <v>359.06</v>
      </c>
      <c r="AD122" s="5">
        <v>458</v>
      </c>
      <c r="AE122" s="45">
        <v>59278</v>
      </c>
      <c r="AF122" s="5">
        <f>Table1[[#This Row],[Aug_Projected_Pay]]*0.08</f>
        <v>4742.24</v>
      </c>
      <c r="AG122" s="5">
        <f>Table1[[#This Row],[Aug_Projected_Pay]]*0.02</f>
        <v>1185.56</v>
      </c>
      <c r="AH122" s="5">
        <v>458</v>
      </c>
      <c r="AI122" s="45">
        <v>32761</v>
      </c>
      <c r="AJ122" s="5">
        <f>Table1[[#This Row],[Sep_Projected_Pay]]*0.08</f>
        <v>2620.88</v>
      </c>
      <c r="AK122" s="5">
        <f>Table1[[#This Row],[Sep_Projected_Pay]]*0.02</f>
        <v>655.22</v>
      </c>
      <c r="AL122" s="5">
        <v>458</v>
      </c>
      <c r="AM122" s="45">
        <v>33948</v>
      </c>
      <c r="AN122" s="5">
        <f>Table1[[#This Row],[Oct_Projected_Pay]]*0.08</f>
        <v>2715.84</v>
      </c>
      <c r="AO122" s="5">
        <f>Table1[[#This Row],[Oct_Projected_Pay]]*0.02</f>
        <v>678.96</v>
      </c>
      <c r="AP122" s="5">
        <v>458</v>
      </c>
      <c r="AQ122" s="45">
        <v>54167</v>
      </c>
      <c r="AR122" s="5">
        <f>Table1[[#This Row],[Nov_Projected_Pay]]*0.08</f>
        <v>4333.3599999999997</v>
      </c>
      <c r="AS122" s="5">
        <f>Table1[[#This Row],[Nov_Projected_Pay]]*0.02</f>
        <v>1083.3399999999999</v>
      </c>
      <c r="AT122" s="5">
        <v>458</v>
      </c>
      <c r="AU122" s="45">
        <v>34293</v>
      </c>
      <c r="AV122" s="5">
        <f>Table1[[#This Row],[Dec_Projected_Pay]]*0.08</f>
        <v>2743.44</v>
      </c>
      <c r="AW122" s="5">
        <f>Table1[[#This Row],[Dec_Projected_Pay]]*0.02</f>
        <v>685.86</v>
      </c>
      <c r="AX122" s="5">
        <v>458</v>
      </c>
      <c r="AY122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405661</v>
      </c>
      <c r="AZ122" s="59">
        <f>D122+H122+L122+P122+T122+X122+AB122+AF122+AJ122+AN122+AR122+AV122</f>
        <v>32452.880000000001</v>
      </c>
      <c r="BA122" s="59">
        <f>E122+I122+M122+Q122+U122+Y122+AC122+AG122+AK122+AO122+AS122+AW122</f>
        <v>8113.22</v>
      </c>
      <c r="BB122" s="59">
        <f>F122+J122+N122+R122+V122+Z122+AD122+AH122+AL122+AP122+AT122+AX122</f>
        <v>5496</v>
      </c>
    </row>
    <row r="123" spans="1:54" x14ac:dyDescent="0.3">
      <c r="A123" t="s">
        <v>202</v>
      </c>
      <c r="B123" t="s">
        <v>201</v>
      </c>
      <c r="C123" s="46">
        <v>129937</v>
      </c>
      <c r="D123" s="5">
        <f>Table1[[#This Row],[Jan_Projected_Pay]]*0.08</f>
        <v>10394.960000000001</v>
      </c>
      <c r="E123" s="5">
        <f>Table1[[#This Row],[Jan_Projected_Pay]]*0.02</f>
        <v>2598.7400000000002</v>
      </c>
      <c r="F123" s="5">
        <v>458</v>
      </c>
      <c r="G123" s="45">
        <v>16443</v>
      </c>
      <c r="H123" s="5">
        <f>Table1[[#This Row],[Feb_Projected_Pay]]*0.08</f>
        <v>1315.44</v>
      </c>
      <c r="I123" s="5">
        <f>Table1[[#This Row],[Feb_Projected_Pay]]*0.02</f>
        <v>328.86</v>
      </c>
      <c r="J123" s="5">
        <v>458</v>
      </c>
      <c r="K123" s="45">
        <v>62169</v>
      </c>
      <c r="L123" s="5">
        <f>Table1[[#This Row],[Mar_Projected_Pay]]*0.08</f>
        <v>4973.5200000000004</v>
      </c>
      <c r="M123" s="5">
        <f>Table1[[#This Row],[Mar_Projected_Pay]]*0.02</f>
        <v>1243.3800000000001</v>
      </c>
      <c r="N123" s="5">
        <v>458</v>
      </c>
      <c r="O123" s="45">
        <v>39585</v>
      </c>
      <c r="P123" s="5">
        <f>Table1[[#This Row],[Apr_Projected_Pay]]*0.08</f>
        <v>3166.8</v>
      </c>
      <c r="Q123" s="5">
        <f>Table1[[#This Row],[Apr_Projected_Pay]]*0.02</f>
        <v>791.7</v>
      </c>
      <c r="R123" s="5">
        <v>458</v>
      </c>
      <c r="S123" s="45">
        <v>59892</v>
      </c>
      <c r="T123" s="5">
        <f>Table1[[#This Row],[May_Projected_Pay]]*0.08</f>
        <v>4791.3599999999997</v>
      </c>
      <c r="U123" s="5">
        <f>Table1[[#This Row],[May_Projected_Pay]]*0.02</f>
        <v>1197.8399999999999</v>
      </c>
      <c r="V123" s="5">
        <v>458</v>
      </c>
      <c r="W123" s="45">
        <v>26982</v>
      </c>
      <c r="X123" s="5">
        <f>Table1[[#This Row],[Jun_Projected_Pay]]*0.08</f>
        <v>2158.56</v>
      </c>
      <c r="Y123" s="5">
        <f>Table1[[#This Row],[Jun_Projected_Pay]]*0.02</f>
        <v>539.64</v>
      </c>
      <c r="Z123" s="5">
        <v>458</v>
      </c>
      <c r="AA123" s="45">
        <v>196420</v>
      </c>
      <c r="AB123" s="5">
        <f>Table1[[#This Row],[Jul_Projected_Pay]]*0.08</f>
        <v>15713.6</v>
      </c>
      <c r="AC123" s="5">
        <f>Table1[[#This Row],[Jul_Projected_Pay]]*0.02</f>
        <v>3928.4</v>
      </c>
      <c r="AD123" s="5">
        <v>458</v>
      </c>
      <c r="AE123" s="45">
        <v>17606</v>
      </c>
      <c r="AF123" s="5">
        <f>Table1[[#This Row],[Aug_Projected_Pay]]*0.08</f>
        <v>1408.48</v>
      </c>
      <c r="AG123" s="5">
        <f>Table1[[#This Row],[Aug_Projected_Pay]]*0.02</f>
        <v>352.12</v>
      </c>
      <c r="AH123" s="5">
        <v>458</v>
      </c>
      <c r="AI123" s="45">
        <v>99253</v>
      </c>
      <c r="AJ123" s="5">
        <f>Table1[[#This Row],[Sep_Projected_Pay]]*0.08</f>
        <v>7940.24</v>
      </c>
      <c r="AK123" s="5">
        <f>Table1[[#This Row],[Sep_Projected_Pay]]*0.02</f>
        <v>1985.06</v>
      </c>
      <c r="AL123" s="5">
        <v>458</v>
      </c>
      <c r="AM123" s="45">
        <v>76125</v>
      </c>
      <c r="AN123" s="5">
        <f>Table1[[#This Row],[Oct_Projected_Pay]]*0.08</f>
        <v>6090</v>
      </c>
      <c r="AO123" s="5">
        <f>Table1[[#This Row],[Oct_Projected_Pay]]*0.02</f>
        <v>1522.5</v>
      </c>
      <c r="AP123" s="5">
        <v>458</v>
      </c>
      <c r="AQ123" s="45">
        <v>51287</v>
      </c>
      <c r="AR123" s="5">
        <f>Table1[[#This Row],[Nov_Projected_Pay]]*0.08</f>
        <v>4102.96</v>
      </c>
      <c r="AS123" s="5">
        <f>Table1[[#This Row],[Nov_Projected_Pay]]*0.02</f>
        <v>1025.74</v>
      </c>
      <c r="AT123" s="5">
        <v>458</v>
      </c>
      <c r="AU123" s="45">
        <v>32156</v>
      </c>
      <c r="AV123" s="5">
        <f>Table1[[#This Row],[Dec_Projected_Pay]]*0.08</f>
        <v>2572.48</v>
      </c>
      <c r="AW123" s="5">
        <f>Table1[[#This Row],[Dec_Projected_Pay]]*0.02</f>
        <v>643.12</v>
      </c>
      <c r="AX123" s="5">
        <v>458</v>
      </c>
      <c r="AY123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807855</v>
      </c>
      <c r="AZ123" s="59">
        <f>D123+H123+L123+P123+T123+X123+AB123+AF123+AJ123+AN123+AR123+AV123</f>
        <v>64628.400000000009</v>
      </c>
      <c r="BA123" s="59">
        <f>E123+I123+M123+Q123+U123+Y123+AC123+AG123+AK123+AO123+AS123+AW123</f>
        <v>16157.100000000002</v>
      </c>
      <c r="BB123" s="59">
        <f>F123+J123+N123+R123+V123+Z123+AD123+AH123+AL123+AP123+AT123+AX123</f>
        <v>5496</v>
      </c>
    </row>
    <row r="124" spans="1:54" x14ac:dyDescent="0.3">
      <c r="A124" t="s">
        <v>203</v>
      </c>
      <c r="B124" t="s">
        <v>201</v>
      </c>
      <c r="C124" s="46">
        <v>27410</v>
      </c>
      <c r="D124" s="5">
        <f>Table1[[#This Row],[Jan_Projected_Pay]]*0.08</f>
        <v>2192.8000000000002</v>
      </c>
      <c r="E124" s="5">
        <f>Table1[[#This Row],[Jan_Projected_Pay]]*0.02</f>
        <v>548.20000000000005</v>
      </c>
      <c r="F124" s="5">
        <v>458</v>
      </c>
      <c r="G124" s="45">
        <v>6819</v>
      </c>
      <c r="H124" s="5">
        <f>Table1[[#This Row],[Feb_Projected_Pay]]*0.08</f>
        <v>545.52</v>
      </c>
      <c r="I124" s="5">
        <f>Table1[[#This Row],[Feb_Projected_Pay]]*0.02</f>
        <v>136.38</v>
      </c>
      <c r="J124" s="5">
        <v>458</v>
      </c>
      <c r="K124" s="45">
        <v>22906</v>
      </c>
      <c r="L124" s="5">
        <f>Table1[[#This Row],[Mar_Projected_Pay]]*0.08</f>
        <v>1832.48</v>
      </c>
      <c r="M124" s="5">
        <f>Table1[[#This Row],[Mar_Projected_Pay]]*0.02</f>
        <v>458.12</v>
      </c>
      <c r="N124" s="5">
        <v>458</v>
      </c>
      <c r="O124" s="45">
        <v>39844</v>
      </c>
      <c r="P124" s="5">
        <f>Table1[[#This Row],[Apr_Projected_Pay]]*0.08</f>
        <v>3187.52</v>
      </c>
      <c r="Q124" s="5">
        <f>Table1[[#This Row],[Apr_Projected_Pay]]*0.02</f>
        <v>796.88</v>
      </c>
      <c r="R124" s="5">
        <v>458</v>
      </c>
      <c r="S124" s="45">
        <v>43482</v>
      </c>
      <c r="T124" s="5">
        <f>Table1[[#This Row],[May_Projected_Pay]]*0.08</f>
        <v>3478.56</v>
      </c>
      <c r="U124" s="5">
        <f>Table1[[#This Row],[May_Projected_Pay]]*0.02</f>
        <v>869.64</v>
      </c>
      <c r="V124" s="5">
        <v>458</v>
      </c>
      <c r="W124" s="45">
        <v>21912</v>
      </c>
      <c r="X124" s="5">
        <f>Table1[[#This Row],[Jun_Projected_Pay]]*0.08</f>
        <v>1752.96</v>
      </c>
      <c r="Y124" s="5">
        <f>Table1[[#This Row],[Jun_Projected_Pay]]*0.02</f>
        <v>438.24</v>
      </c>
      <c r="Z124" s="5">
        <v>458</v>
      </c>
      <c r="AA124" s="45">
        <v>59333</v>
      </c>
      <c r="AB124" s="5">
        <f>Table1[[#This Row],[Jul_Projected_Pay]]*0.08</f>
        <v>4746.6400000000003</v>
      </c>
      <c r="AC124" s="5">
        <f>Table1[[#This Row],[Jul_Projected_Pay]]*0.02</f>
        <v>1186.6600000000001</v>
      </c>
      <c r="AD124" s="5">
        <v>458</v>
      </c>
      <c r="AE124" s="45">
        <v>42719</v>
      </c>
      <c r="AF124" s="5">
        <f>Table1[[#This Row],[Aug_Projected_Pay]]*0.08</f>
        <v>3417.52</v>
      </c>
      <c r="AG124" s="5">
        <f>Table1[[#This Row],[Aug_Projected_Pay]]*0.02</f>
        <v>854.38</v>
      </c>
      <c r="AH124" s="5">
        <v>458</v>
      </c>
      <c r="AI124" s="45">
        <v>32197</v>
      </c>
      <c r="AJ124" s="5">
        <f>Table1[[#This Row],[Sep_Projected_Pay]]*0.08</f>
        <v>2575.7600000000002</v>
      </c>
      <c r="AK124" s="5">
        <f>Table1[[#This Row],[Sep_Projected_Pay]]*0.02</f>
        <v>643.94000000000005</v>
      </c>
      <c r="AL124" s="5">
        <v>458</v>
      </c>
      <c r="AM124" s="45">
        <v>61635</v>
      </c>
      <c r="AN124" s="5">
        <f>Table1[[#This Row],[Oct_Projected_Pay]]*0.08</f>
        <v>4930.8</v>
      </c>
      <c r="AO124" s="5">
        <f>Table1[[#This Row],[Oct_Projected_Pay]]*0.02</f>
        <v>1232.7</v>
      </c>
      <c r="AP124" s="5">
        <v>458</v>
      </c>
      <c r="AQ124" s="45">
        <v>31596</v>
      </c>
      <c r="AR124" s="5">
        <f>Table1[[#This Row],[Nov_Projected_Pay]]*0.08</f>
        <v>2527.6799999999998</v>
      </c>
      <c r="AS124" s="5">
        <f>Table1[[#This Row],[Nov_Projected_Pay]]*0.02</f>
        <v>631.91999999999996</v>
      </c>
      <c r="AT124" s="5">
        <v>458</v>
      </c>
      <c r="AU124" s="45">
        <v>42175</v>
      </c>
      <c r="AV124" s="5">
        <f>Table1[[#This Row],[Dec_Projected_Pay]]*0.08</f>
        <v>3374</v>
      </c>
      <c r="AW124" s="5">
        <f>Table1[[#This Row],[Dec_Projected_Pay]]*0.02</f>
        <v>843.5</v>
      </c>
      <c r="AX124" s="5">
        <v>458</v>
      </c>
      <c r="AY124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432028</v>
      </c>
      <c r="AZ124" s="59">
        <f>D124+H124+L124+P124+T124+X124+AB124+AF124+AJ124+AN124+AR124+AV124</f>
        <v>34562.240000000005</v>
      </c>
      <c r="BA124" s="59">
        <f>E124+I124+M124+Q124+U124+Y124+AC124+AG124+AK124+AO124+AS124+AW124</f>
        <v>8640.5600000000013</v>
      </c>
      <c r="BB124" s="59">
        <f>F124+J124+N124+R124+V124+Z124+AD124+AH124+AL124+AP124+AT124+AX124</f>
        <v>5496</v>
      </c>
    </row>
    <row r="125" spans="1:54" x14ac:dyDescent="0.3">
      <c r="A125" t="s">
        <v>204</v>
      </c>
      <c r="B125" t="s">
        <v>201</v>
      </c>
      <c r="C125" s="46">
        <v>8190.4849020000001</v>
      </c>
      <c r="D125" s="5">
        <f>Table1[[#This Row],[Jan_Projected_Pay]]*0.08</f>
        <v>655.23879216</v>
      </c>
      <c r="E125" s="5">
        <f>Table1[[#This Row],[Jan_Projected_Pay]]*0.02</f>
        <v>163.80969804</v>
      </c>
      <c r="F125" s="5">
        <v>600</v>
      </c>
      <c r="G125" s="45">
        <v>5944.6938090000003</v>
      </c>
      <c r="H125" s="5">
        <f>Table1[[#This Row],[Feb_Projected_Pay]]*0.08</f>
        <v>475.57550472000003</v>
      </c>
      <c r="I125" s="5">
        <f>Table1[[#This Row],[Feb_Projected_Pay]]*0.02</f>
        <v>118.89387618000001</v>
      </c>
      <c r="J125" s="5">
        <v>600</v>
      </c>
      <c r="K125" s="45">
        <v>25362</v>
      </c>
      <c r="L125" s="5">
        <f>Table1[[#This Row],[Mar_Projected_Pay]]*0.08</f>
        <v>2028.96</v>
      </c>
      <c r="M125" s="5">
        <f>Table1[[#This Row],[Mar_Projected_Pay]]*0.02</f>
        <v>507.24</v>
      </c>
      <c r="N125" s="5">
        <v>600</v>
      </c>
      <c r="O125" s="45">
        <v>12843</v>
      </c>
      <c r="P125" s="5">
        <f>Table1[[#This Row],[Apr_Projected_Pay]]*0.08</f>
        <v>1027.44</v>
      </c>
      <c r="Q125" s="5">
        <f>Table1[[#This Row],[Apr_Projected_Pay]]*0.02</f>
        <v>256.86</v>
      </c>
      <c r="R125" s="5">
        <v>600</v>
      </c>
      <c r="S125" s="45">
        <v>18456</v>
      </c>
      <c r="T125" s="5">
        <f>Table1[[#This Row],[May_Projected_Pay]]*0.08</f>
        <v>1476.48</v>
      </c>
      <c r="U125" s="5">
        <f>Table1[[#This Row],[May_Projected_Pay]]*0.02</f>
        <v>369.12</v>
      </c>
      <c r="V125" s="5">
        <v>600</v>
      </c>
      <c r="W125" s="45">
        <v>62473</v>
      </c>
      <c r="X125" s="5">
        <f>Table1[[#This Row],[Jun_Projected_Pay]]*0.08</f>
        <v>4997.84</v>
      </c>
      <c r="Y125" s="5">
        <f>Table1[[#This Row],[Jun_Projected_Pay]]*0.02</f>
        <v>1249.46</v>
      </c>
      <c r="Z125" s="5">
        <v>600</v>
      </c>
      <c r="AA125" s="45">
        <v>78223</v>
      </c>
      <c r="AB125" s="5">
        <f>Table1[[#This Row],[Jul_Projected_Pay]]*0.08</f>
        <v>6257.84</v>
      </c>
      <c r="AC125" s="5">
        <f>Table1[[#This Row],[Jul_Projected_Pay]]*0.02</f>
        <v>1564.46</v>
      </c>
      <c r="AD125" s="5">
        <v>600</v>
      </c>
      <c r="AE125" s="45">
        <v>49699</v>
      </c>
      <c r="AF125" s="5">
        <f>Table1[[#This Row],[Aug_Projected_Pay]]*0.08</f>
        <v>3975.92</v>
      </c>
      <c r="AG125" s="5">
        <f>Table1[[#This Row],[Aug_Projected_Pay]]*0.02</f>
        <v>993.98</v>
      </c>
      <c r="AH125" s="5">
        <v>600</v>
      </c>
      <c r="AI125" s="45">
        <v>85666</v>
      </c>
      <c r="AJ125" s="5">
        <f>Table1[[#This Row],[Sep_Projected_Pay]]*0.08</f>
        <v>6853.28</v>
      </c>
      <c r="AK125" s="5">
        <f>Table1[[#This Row],[Sep_Projected_Pay]]*0.02</f>
        <v>1713.32</v>
      </c>
      <c r="AL125" s="5">
        <v>600</v>
      </c>
      <c r="AM125" s="45">
        <v>18580</v>
      </c>
      <c r="AN125" s="5">
        <f>Table1[[#This Row],[Oct_Projected_Pay]]*0.08</f>
        <v>1486.4</v>
      </c>
      <c r="AO125" s="5">
        <f>Table1[[#This Row],[Oct_Projected_Pay]]*0.02</f>
        <v>371.6</v>
      </c>
      <c r="AP125" s="5">
        <v>600</v>
      </c>
      <c r="AQ125" s="45">
        <v>27500</v>
      </c>
      <c r="AR125" s="5">
        <f>Table1[[#This Row],[Nov_Projected_Pay]]*0.08</f>
        <v>2200</v>
      </c>
      <c r="AS125" s="5">
        <f>Table1[[#This Row],[Nov_Projected_Pay]]*0.02</f>
        <v>550</v>
      </c>
      <c r="AT125" s="5">
        <v>600</v>
      </c>
      <c r="AU125" s="45">
        <v>7782.1592490000003</v>
      </c>
      <c r="AV125" s="5">
        <f>Table1[[#This Row],[Dec_Projected_Pay]]*0.08</f>
        <v>622.57273992</v>
      </c>
      <c r="AW125" s="5">
        <f>Table1[[#This Row],[Dec_Projected_Pay]]*0.02</f>
        <v>155.64318498</v>
      </c>
      <c r="AX125" s="5">
        <v>600</v>
      </c>
      <c r="AY125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400719.33796000003</v>
      </c>
      <c r="AZ125" s="59">
        <f>D125+H125+L125+P125+T125+X125+AB125+AF125+AJ125+AN125+AR125+AV125</f>
        <v>32057.547036799999</v>
      </c>
      <c r="BA125" s="59">
        <f>E125+I125+M125+Q125+U125+Y125+AC125+AG125+AK125+AO125+AS125+AW125</f>
        <v>8014.3867591999997</v>
      </c>
      <c r="BB125" s="59">
        <f>F125+J125+N125+R125+V125+Z125+AD125+AH125+AL125+AP125+AT125+AX125</f>
        <v>7200</v>
      </c>
    </row>
    <row r="126" spans="1:54" x14ac:dyDescent="0.3">
      <c r="A126" t="s">
        <v>205</v>
      </c>
      <c r="B126" t="s">
        <v>201</v>
      </c>
      <c r="C126" s="46">
        <v>10379.9462</v>
      </c>
      <c r="D126" s="5">
        <f>Table1[[#This Row],[Jan_Projected_Pay]]*0.08</f>
        <v>830.39569600000004</v>
      </c>
      <c r="E126" s="5">
        <f>Table1[[#This Row],[Jan_Projected_Pay]]*0.02</f>
        <v>207.59892400000001</v>
      </c>
      <c r="F126" s="5">
        <v>600</v>
      </c>
      <c r="G126" s="45">
        <v>12199</v>
      </c>
      <c r="H126" s="5">
        <f>Table1[[#This Row],[Feb_Projected_Pay]]*0.08</f>
        <v>975.92000000000007</v>
      </c>
      <c r="I126" s="5">
        <f>Table1[[#This Row],[Feb_Projected_Pay]]*0.02</f>
        <v>243.98000000000002</v>
      </c>
      <c r="J126" s="5">
        <v>600</v>
      </c>
      <c r="K126" s="45">
        <v>14450.814602</v>
      </c>
      <c r="L126" s="5">
        <f>Table1[[#This Row],[Mar_Projected_Pay]]*0.08</f>
        <v>1156.06516816</v>
      </c>
      <c r="M126" s="5">
        <f>Table1[[#This Row],[Mar_Projected_Pay]]*0.02</f>
        <v>289.01629204</v>
      </c>
      <c r="N126" s="5">
        <v>600</v>
      </c>
      <c r="O126" s="45">
        <v>13632.574558</v>
      </c>
      <c r="P126" s="5">
        <f>Table1[[#This Row],[Apr_Projected_Pay]]*0.08</f>
        <v>1090.6059646400001</v>
      </c>
      <c r="Q126" s="5">
        <f>Table1[[#This Row],[Apr_Projected_Pay]]*0.02</f>
        <v>272.65149116000003</v>
      </c>
      <c r="R126" s="5">
        <v>600</v>
      </c>
      <c r="S126" s="45">
        <v>33063</v>
      </c>
      <c r="T126" s="5">
        <f>Table1[[#This Row],[May_Projected_Pay]]*0.08</f>
        <v>2645.04</v>
      </c>
      <c r="U126" s="5">
        <f>Table1[[#This Row],[May_Projected_Pay]]*0.02</f>
        <v>661.26</v>
      </c>
      <c r="V126" s="5">
        <v>600</v>
      </c>
      <c r="W126" s="45">
        <v>37489</v>
      </c>
      <c r="X126" s="5">
        <f>Table1[[#This Row],[Jun_Projected_Pay]]*0.08</f>
        <v>2999.12</v>
      </c>
      <c r="Y126" s="5">
        <f>Table1[[#This Row],[Jun_Projected_Pay]]*0.02</f>
        <v>749.78</v>
      </c>
      <c r="Z126" s="5">
        <v>600</v>
      </c>
      <c r="AA126" s="45">
        <v>38206.703974999997</v>
      </c>
      <c r="AB126" s="5">
        <f>Table1[[#This Row],[Jul_Projected_Pay]]*0.08</f>
        <v>3056.5363179999999</v>
      </c>
      <c r="AC126" s="5">
        <f>Table1[[#This Row],[Jul_Projected_Pay]]*0.02</f>
        <v>764.13407949999998</v>
      </c>
      <c r="AD126" s="5">
        <v>600</v>
      </c>
      <c r="AE126" s="45">
        <v>13556</v>
      </c>
      <c r="AF126" s="5">
        <f>Table1[[#This Row],[Aug_Projected_Pay]]*0.08</f>
        <v>1084.48</v>
      </c>
      <c r="AG126" s="5">
        <f>Table1[[#This Row],[Aug_Projected_Pay]]*0.02</f>
        <v>271.12</v>
      </c>
      <c r="AH126" s="5">
        <v>600</v>
      </c>
      <c r="AI126" s="45">
        <v>24999</v>
      </c>
      <c r="AJ126" s="5">
        <f>Table1[[#This Row],[Sep_Projected_Pay]]*0.08</f>
        <v>1999.92</v>
      </c>
      <c r="AK126" s="5">
        <f>Table1[[#This Row],[Sep_Projected_Pay]]*0.02</f>
        <v>499.98</v>
      </c>
      <c r="AL126" s="5">
        <v>600</v>
      </c>
      <c r="AM126" s="45">
        <v>20119</v>
      </c>
      <c r="AN126" s="5">
        <f>Table1[[#This Row],[Oct_Projected_Pay]]*0.08</f>
        <v>1609.52</v>
      </c>
      <c r="AO126" s="5">
        <f>Table1[[#This Row],[Oct_Projected_Pay]]*0.02</f>
        <v>402.38</v>
      </c>
      <c r="AP126" s="5">
        <v>600</v>
      </c>
      <c r="AQ126" s="45">
        <v>23766</v>
      </c>
      <c r="AR126" s="5">
        <f>Table1[[#This Row],[Nov_Projected_Pay]]*0.08</f>
        <v>1901.28</v>
      </c>
      <c r="AS126" s="5">
        <f>Table1[[#This Row],[Nov_Projected_Pay]]*0.02</f>
        <v>475.32</v>
      </c>
      <c r="AT126" s="5">
        <v>600</v>
      </c>
      <c r="AU126" s="45">
        <v>12687</v>
      </c>
      <c r="AV126" s="5">
        <f>Table1[[#This Row],[Dec_Projected_Pay]]*0.08</f>
        <v>1014.96</v>
      </c>
      <c r="AW126" s="5">
        <f>Table1[[#This Row],[Dec_Projected_Pay]]*0.02</f>
        <v>253.74</v>
      </c>
      <c r="AX126" s="5">
        <v>600</v>
      </c>
      <c r="AY126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254548.03933500001</v>
      </c>
      <c r="AZ126" s="59">
        <f>D126+H126+L126+P126+T126+X126+AB126+AF126+AJ126+AN126+AR126+AV126</f>
        <v>20363.843146799998</v>
      </c>
      <c r="BA126" s="59">
        <f>E126+I126+M126+Q126+U126+Y126+AC126+AG126+AK126+AO126+AS126+AW126</f>
        <v>5090.9607866999995</v>
      </c>
      <c r="BB126" s="59">
        <f>F126+J126+N126+R126+V126+Z126+AD126+AH126+AL126+AP126+AT126+AX126</f>
        <v>7200</v>
      </c>
    </row>
    <row r="127" spans="1:54" x14ac:dyDescent="0.3">
      <c r="A127" s="3" t="s">
        <v>206</v>
      </c>
      <c r="B127" t="s">
        <v>201</v>
      </c>
      <c r="C127" s="46">
        <v>3446.9772109999999</v>
      </c>
      <c r="D127" s="5">
        <f>Table1[[#This Row],[Jan_Projected_Pay]]*0.08</f>
        <v>275.75817688000001</v>
      </c>
      <c r="E127" s="5">
        <f>Table1[[#This Row],[Jan_Projected_Pay]]*0.02</f>
        <v>68.939544220000002</v>
      </c>
      <c r="F127" s="5">
        <v>600</v>
      </c>
      <c r="G127" s="45">
        <v>9696</v>
      </c>
      <c r="H127" s="5">
        <f>Table1[[#This Row],[Feb_Projected_Pay]]*0.08</f>
        <v>775.68000000000006</v>
      </c>
      <c r="I127" s="5">
        <f>Table1[[#This Row],[Feb_Projected_Pay]]*0.02</f>
        <v>193.92000000000002</v>
      </c>
      <c r="J127" s="5">
        <v>600</v>
      </c>
      <c r="K127" s="45">
        <v>18921.099661</v>
      </c>
      <c r="L127" s="5">
        <f>Table1[[#This Row],[Mar_Projected_Pay]]*0.08</f>
        <v>1513.68797288</v>
      </c>
      <c r="M127" s="5">
        <f>Table1[[#This Row],[Mar_Projected_Pay]]*0.02</f>
        <v>378.42199321999999</v>
      </c>
      <c r="N127" s="5">
        <v>600</v>
      </c>
      <c r="O127" s="45">
        <v>25681</v>
      </c>
      <c r="P127" s="5">
        <f>Table1[[#This Row],[Apr_Projected_Pay]]*0.08</f>
        <v>2054.48</v>
      </c>
      <c r="Q127" s="5">
        <f>Table1[[#This Row],[Apr_Projected_Pay]]*0.02</f>
        <v>513.62</v>
      </c>
      <c r="R127" s="5">
        <v>600</v>
      </c>
      <c r="S127" s="45">
        <v>14359</v>
      </c>
      <c r="T127" s="5">
        <f>Table1[[#This Row],[May_Projected_Pay]]*0.08</f>
        <v>1148.72</v>
      </c>
      <c r="U127" s="5">
        <f>Table1[[#This Row],[May_Projected_Pay]]*0.02</f>
        <v>287.18</v>
      </c>
      <c r="V127" s="5">
        <v>600</v>
      </c>
      <c r="W127" s="45">
        <v>31990</v>
      </c>
      <c r="X127" s="5">
        <f>Table1[[#This Row],[Jun_Projected_Pay]]*0.08</f>
        <v>2559.2000000000003</v>
      </c>
      <c r="Y127" s="5">
        <f>Table1[[#This Row],[Jun_Projected_Pay]]*0.02</f>
        <v>639.80000000000007</v>
      </c>
      <c r="Z127" s="5">
        <v>600</v>
      </c>
      <c r="AA127" s="45">
        <v>10222</v>
      </c>
      <c r="AB127" s="5">
        <f>Table1[[#This Row],[Jul_Projected_Pay]]*0.08</f>
        <v>817.76</v>
      </c>
      <c r="AC127" s="5">
        <f>Table1[[#This Row],[Jul_Projected_Pay]]*0.02</f>
        <v>204.44</v>
      </c>
      <c r="AD127" s="5">
        <v>600</v>
      </c>
      <c r="AE127" s="45">
        <v>2643</v>
      </c>
      <c r="AF127" s="5">
        <f>Table1[[#This Row],[Aug_Projected_Pay]]*0.08</f>
        <v>211.44</v>
      </c>
      <c r="AG127" s="5">
        <f>Table1[[#This Row],[Aug_Projected_Pay]]*0.02</f>
        <v>52.86</v>
      </c>
      <c r="AH127" s="5">
        <v>600</v>
      </c>
      <c r="AI127" s="45">
        <v>8417.4531509999997</v>
      </c>
      <c r="AJ127" s="5">
        <f>Table1[[#This Row],[Sep_Projected_Pay]]*0.08</f>
        <v>673.39625207999995</v>
      </c>
      <c r="AK127" s="5">
        <f>Table1[[#This Row],[Sep_Projected_Pay]]*0.02</f>
        <v>168.34906301999999</v>
      </c>
      <c r="AL127" s="5">
        <v>600</v>
      </c>
      <c r="AM127" s="45">
        <v>7434.9094919999998</v>
      </c>
      <c r="AN127" s="5">
        <f>Table1[[#This Row],[Oct_Projected_Pay]]*0.08</f>
        <v>594.79275935999999</v>
      </c>
      <c r="AO127" s="5">
        <f>Table1[[#This Row],[Oct_Projected_Pay]]*0.02</f>
        <v>148.69818984</v>
      </c>
      <c r="AP127" s="5">
        <v>600</v>
      </c>
      <c r="AQ127" s="45">
        <v>4653.311643</v>
      </c>
      <c r="AR127" s="5">
        <f>Table1[[#This Row],[Nov_Projected_Pay]]*0.08</f>
        <v>372.26493144</v>
      </c>
      <c r="AS127" s="5">
        <f>Table1[[#This Row],[Nov_Projected_Pay]]*0.02</f>
        <v>93.06623286</v>
      </c>
      <c r="AT127" s="5">
        <v>600</v>
      </c>
      <c r="AU127" s="45">
        <v>29954.519746999998</v>
      </c>
      <c r="AV127" s="5">
        <f>Table1[[#This Row],[Dec_Projected_Pay]]*0.08</f>
        <v>2396.36157976</v>
      </c>
      <c r="AW127" s="5">
        <f>Table1[[#This Row],[Dec_Projected_Pay]]*0.02</f>
        <v>599.09039494000001</v>
      </c>
      <c r="AX127" s="5">
        <v>600</v>
      </c>
      <c r="AY127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167419.27090499998</v>
      </c>
      <c r="AZ127" s="59">
        <f>D127+H127+L127+P127+T127+X127+AB127+AF127+AJ127+AN127+AR127+AV127</f>
        <v>13393.541672400001</v>
      </c>
      <c r="BA127" s="59">
        <f>E127+I127+M127+Q127+U127+Y127+AC127+AG127+AK127+AO127+AS127+AW127</f>
        <v>3348.3854181000002</v>
      </c>
      <c r="BB127" s="59">
        <f>F127+J127+N127+R127+V127+Z127+AD127+AH127+AL127+AP127+AT127+AX127</f>
        <v>7200</v>
      </c>
    </row>
    <row r="128" spans="1:54" x14ac:dyDescent="0.3">
      <c r="A128" t="s">
        <v>207</v>
      </c>
      <c r="B128" t="s">
        <v>201</v>
      </c>
      <c r="C128" s="46">
        <v>16434.966768999999</v>
      </c>
      <c r="D128" s="5">
        <f>Table1[[#This Row],[Jan_Projected_Pay]]*0.08</f>
        <v>1314.7973415199999</v>
      </c>
      <c r="E128" s="5">
        <f>Table1[[#This Row],[Jan_Projected_Pay]]*0.02</f>
        <v>328.69933537999998</v>
      </c>
      <c r="F128" s="5">
        <v>458</v>
      </c>
      <c r="G128" s="45">
        <v>12255</v>
      </c>
      <c r="H128" s="5">
        <f>Table1[[#This Row],[Feb_Projected_Pay]]*0.08</f>
        <v>980.4</v>
      </c>
      <c r="I128" s="5">
        <f>Table1[[#This Row],[Feb_Projected_Pay]]*0.02</f>
        <v>245.1</v>
      </c>
      <c r="J128" s="5">
        <v>458</v>
      </c>
      <c r="K128" s="45">
        <v>12546</v>
      </c>
      <c r="L128" s="5">
        <f>Table1[[#This Row],[Mar_Projected_Pay]]*0.08</f>
        <v>1003.6800000000001</v>
      </c>
      <c r="M128" s="5">
        <f>Table1[[#This Row],[Mar_Projected_Pay]]*0.02</f>
        <v>250.92000000000002</v>
      </c>
      <c r="N128" s="5">
        <v>458</v>
      </c>
      <c r="O128" s="45">
        <v>35625</v>
      </c>
      <c r="P128" s="5">
        <f>Table1[[#This Row],[Apr_Projected_Pay]]*0.08</f>
        <v>2850</v>
      </c>
      <c r="Q128" s="5">
        <f>Table1[[#This Row],[Apr_Projected_Pay]]*0.02</f>
        <v>712.5</v>
      </c>
      <c r="R128" s="5">
        <v>458</v>
      </c>
      <c r="S128" s="45">
        <v>29418</v>
      </c>
      <c r="T128" s="5">
        <f>Table1[[#This Row],[May_Projected_Pay]]*0.08</f>
        <v>2353.44</v>
      </c>
      <c r="U128" s="5">
        <f>Table1[[#This Row],[May_Projected_Pay]]*0.02</f>
        <v>588.36</v>
      </c>
      <c r="V128" s="5">
        <v>458</v>
      </c>
      <c r="W128" s="45">
        <v>18725</v>
      </c>
      <c r="X128" s="5">
        <f>Table1[[#This Row],[Jun_Projected_Pay]]*0.08</f>
        <v>1498</v>
      </c>
      <c r="Y128" s="5">
        <f>Table1[[#This Row],[Jun_Projected_Pay]]*0.02</f>
        <v>374.5</v>
      </c>
      <c r="Z128" s="5">
        <v>458</v>
      </c>
      <c r="AA128" s="45">
        <v>18444</v>
      </c>
      <c r="AB128" s="5">
        <f>Table1[[#This Row],[Jul_Projected_Pay]]*0.08</f>
        <v>1475.52</v>
      </c>
      <c r="AC128" s="5">
        <f>Table1[[#This Row],[Jul_Projected_Pay]]*0.02</f>
        <v>368.88</v>
      </c>
      <c r="AD128" s="5">
        <v>458</v>
      </c>
      <c r="AE128" s="45">
        <v>11028</v>
      </c>
      <c r="AF128" s="5">
        <f>Table1[[#This Row],[Aug_Projected_Pay]]*0.08</f>
        <v>882.24</v>
      </c>
      <c r="AG128" s="5">
        <f>Table1[[#This Row],[Aug_Projected_Pay]]*0.02</f>
        <v>220.56</v>
      </c>
      <c r="AH128" s="5">
        <v>458</v>
      </c>
      <c r="AI128" s="45">
        <v>6523</v>
      </c>
      <c r="AJ128" s="5">
        <f>Table1[[#This Row],[Sep_Projected_Pay]]*0.08</f>
        <v>521.84</v>
      </c>
      <c r="AK128" s="5">
        <f>Table1[[#This Row],[Sep_Projected_Pay]]*0.02</f>
        <v>130.46</v>
      </c>
      <c r="AL128" s="5">
        <v>458</v>
      </c>
      <c r="AM128" s="45">
        <v>513</v>
      </c>
      <c r="AN128" s="5">
        <f>Table1[[#This Row],[Oct_Projected_Pay]]*0.08</f>
        <v>41.04</v>
      </c>
      <c r="AO128" s="5">
        <f>Table1[[#This Row],[Oct_Projected_Pay]]*0.02</f>
        <v>10.26</v>
      </c>
      <c r="AP128" s="5">
        <v>458</v>
      </c>
      <c r="AQ128" s="45">
        <v>3607.2587050000002</v>
      </c>
      <c r="AR128" s="5">
        <f>Table1[[#This Row],[Nov_Projected_Pay]]*0.08</f>
        <v>288.58069640000002</v>
      </c>
      <c r="AS128" s="5">
        <f>Table1[[#This Row],[Nov_Projected_Pay]]*0.02</f>
        <v>72.145174100000006</v>
      </c>
      <c r="AT128" s="5">
        <v>458</v>
      </c>
      <c r="AU128" s="45">
        <v>6231</v>
      </c>
      <c r="AV128" s="5">
        <f>Table1[[#This Row],[Dec_Projected_Pay]]*0.08</f>
        <v>498.48</v>
      </c>
      <c r="AW128" s="5">
        <f>Table1[[#This Row],[Dec_Projected_Pay]]*0.02</f>
        <v>124.62</v>
      </c>
      <c r="AX128" s="5">
        <v>458</v>
      </c>
      <c r="AY128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171350.22547399998</v>
      </c>
      <c r="AZ128" s="59">
        <f>D128+H128+L128+P128+T128+X128+AB128+AF128+AJ128+AN128+AR128+AV128</f>
        <v>13708.018037920001</v>
      </c>
      <c r="BA128" s="59">
        <f>E128+I128+M128+Q128+U128+Y128+AC128+AG128+AK128+AO128+AS128+AW128</f>
        <v>3427.0045094800003</v>
      </c>
      <c r="BB128" s="59">
        <f>F128+J128+N128+R128+V128+Z128+AD128+AH128+AL128+AP128+AT128+AX128</f>
        <v>5496</v>
      </c>
    </row>
    <row r="129" spans="1:54" x14ac:dyDescent="0.3">
      <c r="A129" t="s">
        <v>208</v>
      </c>
      <c r="B129" t="s">
        <v>201</v>
      </c>
      <c r="C129" s="46">
        <v>1600.0798990000001</v>
      </c>
      <c r="D129" s="5">
        <f>Table1[[#This Row],[Jan_Projected_Pay]]*0.08</f>
        <v>128.00639192</v>
      </c>
      <c r="E129" s="5">
        <f>Table1[[#This Row],[Jan_Projected_Pay]]*0.02</f>
        <v>32.00159798</v>
      </c>
      <c r="F129" s="5">
        <v>600</v>
      </c>
      <c r="G129" s="45">
        <v>7250</v>
      </c>
      <c r="H129" s="5">
        <f>Table1[[#This Row],[Feb_Projected_Pay]]*0.08</f>
        <v>580</v>
      </c>
      <c r="I129" s="5">
        <f>Table1[[#This Row],[Feb_Projected_Pay]]*0.02</f>
        <v>145</v>
      </c>
      <c r="J129" s="5">
        <v>600</v>
      </c>
      <c r="K129" s="45">
        <v>9853</v>
      </c>
      <c r="L129" s="5">
        <f>Table1[[#This Row],[Mar_Projected_Pay]]*0.08</f>
        <v>788.24</v>
      </c>
      <c r="M129" s="5">
        <f>Table1[[#This Row],[Mar_Projected_Pay]]*0.02</f>
        <v>197.06</v>
      </c>
      <c r="N129" s="5">
        <v>600</v>
      </c>
      <c r="O129" s="45">
        <v>13126</v>
      </c>
      <c r="P129" s="5">
        <f>Table1[[#This Row],[Apr_Projected_Pay]]*0.08</f>
        <v>1050.08</v>
      </c>
      <c r="Q129" s="5">
        <f>Table1[[#This Row],[Apr_Projected_Pay]]*0.02</f>
        <v>262.52</v>
      </c>
      <c r="R129" s="5">
        <v>600</v>
      </c>
      <c r="S129" s="45">
        <v>25130</v>
      </c>
      <c r="T129" s="5">
        <f>Table1[[#This Row],[May_Projected_Pay]]*0.08</f>
        <v>2010.4</v>
      </c>
      <c r="U129" s="5">
        <f>Table1[[#This Row],[May_Projected_Pay]]*0.02</f>
        <v>502.6</v>
      </c>
      <c r="V129" s="5">
        <v>600</v>
      </c>
      <c r="W129" s="45">
        <v>6580</v>
      </c>
      <c r="X129" s="5">
        <f>Table1[[#This Row],[Jun_Projected_Pay]]*0.08</f>
        <v>526.4</v>
      </c>
      <c r="Y129" s="5">
        <f>Table1[[#This Row],[Jun_Projected_Pay]]*0.02</f>
        <v>131.6</v>
      </c>
      <c r="Z129" s="5">
        <v>600</v>
      </c>
      <c r="AA129" s="45">
        <v>25590</v>
      </c>
      <c r="AB129" s="5">
        <f>Table1[[#This Row],[Jul_Projected_Pay]]*0.08</f>
        <v>2047.2</v>
      </c>
      <c r="AC129" s="5">
        <f>Table1[[#This Row],[Jul_Projected_Pay]]*0.02</f>
        <v>511.8</v>
      </c>
      <c r="AD129" s="5">
        <v>600</v>
      </c>
      <c r="AE129" s="45">
        <v>6684</v>
      </c>
      <c r="AF129" s="5">
        <f>Table1[[#This Row],[Aug_Projected_Pay]]*0.08</f>
        <v>534.72</v>
      </c>
      <c r="AG129" s="5">
        <f>Table1[[#This Row],[Aug_Projected_Pay]]*0.02</f>
        <v>133.68</v>
      </c>
      <c r="AH129" s="5">
        <v>600</v>
      </c>
      <c r="AI129" s="45">
        <v>2145</v>
      </c>
      <c r="AJ129" s="5">
        <f>Table1[[#This Row],[Sep_Projected_Pay]]*0.08</f>
        <v>171.6</v>
      </c>
      <c r="AK129" s="5">
        <f>Table1[[#This Row],[Sep_Projected_Pay]]*0.02</f>
        <v>42.9</v>
      </c>
      <c r="AL129" s="5">
        <v>600</v>
      </c>
      <c r="AM129" s="45">
        <v>3125</v>
      </c>
      <c r="AN129" s="5">
        <f>Table1[[#This Row],[Oct_Projected_Pay]]*0.08</f>
        <v>250</v>
      </c>
      <c r="AO129" s="5">
        <f>Table1[[#This Row],[Oct_Projected_Pay]]*0.02</f>
        <v>62.5</v>
      </c>
      <c r="AP129" s="5">
        <v>600</v>
      </c>
      <c r="AQ129" s="45">
        <v>2689</v>
      </c>
      <c r="AR129" s="5">
        <f>Table1[[#This Row],[Nov_Projected_Pay]]*0.08</f>
        <v>215.12</v>
      </c>
      <c r="AS129" s="5">
        <f>Table1[[#This Row],[Nov_Projected_Pay]]*0.02</f>
        <v>53.78</v>
      </c>
      <c r="AT129" s="5">
        <v>600</v>
      </c>
      <c r="AU129" s="45">
        <v>7842</v>
      </c>
      <c r="AV129" s="5">
        <f>Table1[[#This Row],[Dec_Projected_Pay]]*0.08</f>
        <v>627.36</v>
      </c>
      <c r="AW129" s="5">
        <f>Table1[[#This Row],[Dec_Projected_Pay]]*0.02</f>
        <v>156.84</v>
      </c>
      <c r="AX129" s="5">
        <v>600</v>
      </c>
      <c r="AY129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111614.079899</v>
      </c>
      <c r="AZ129" s="59">
        <f>D129+H129+L129+P129+T129+X129+AB129+AF129+AJ129+AN129+AR129+AV129</f>
        <v>8929.126391920001</v>
      </c>
      <c r="BA129" s="59">
        <f>E129+I129+M129+Q129+U129+Y129+AC129+AG129+AK129+AO129+AS129+AW129</f>
        <v>2232.2815979800002</v>
      </c>
      <c r="BB129" s="59">
        <f>F129+J129+N129+R129+V129+Z129+AD129+AH129+AL129+AP129+AT129+AX129</f>
        <v>7200</v>
      </c>
    </row>
    <row r="130" spans="1:54" x14ac:dyDescent="0.3">
      <c r="A130" t="s">
        <v>209</v>
      </c>
      <c r="B130" t="s">
        <v>201</v>
      </c>
      <c r="C130" s="46">
        <v>9981.4345200000007</v>
      </c>
      <c r="D130" s="5">
        <f>Table1[[#This Row],[Jan_Projected_Pay]]*0.08</f>
        <v>798.51476160000004</v>
      </c>
      <c r="E130" s="5">
        <f>Table1[[#This Row],[Jan_Projected_Pay]]*0.02</f>
        <v>199.62869040000001</v>
      </c>
      <c r="F130" s="5">
        <v>600</v>
      </c>
      <c r="G130" s="45">
        <v>8742.7220199999992</v>
      </c>
      <c r="H130" s="5">
        <f>Table1[[#This Row],[Feb_Projected_Pay]]*0.08</f>
        <v>699.41776159999995</v>
      </c>
      <c r="I130" s="5">
        <f>Table1[[#This Row],[Feb_Projected_Pay]]*0.02</f>
        <v>174.85444039999999</v>
      </c>
      <c r="J130" s="5">
        <v>600</v>
      </c>
      <c r="K130" s="45">
        <v>12396</v>
      </c>
      <c r="L130" s="5">
        <f>Table1[[#This Row],[Mar_Projected_Pay]]*0.08</f>
        <v>991.68000000000006</v>
      </c>
      <c r="M130" s="5">
        <f>Table1[[#This Row],[Mar_Projected_Pay]]*0.02</f>
        <v>247.92000000000002</v>
      </c>
      <c r="N130" s="5">
        <v>600</v>
      </c>
      <c r="O130" s="45">
        <v>16279</v>
      </c>
      <c r="P130" s="5">
        <f>Table1[[#This Row],[Apr_Projected_Pay]]*0.08</f>
        <v>1302.32</v>
      </c>
      <c r="Q130" s="5">
        <f>Table1[[#This Row],[Apr_Projected_Pay]]*0.02</f>
        <v>325.58</v>
      </c>
      <c r="R130" s="5">
        <v>600</v>
      </c>
      <c r="S130" s="45">
        <v>11727.939709</v>
      </c>
      <c r="T130" s="5">
        <f>Table1[[#This Row],[May_Projected_Pay]]*0.08</f>
        <v>938.23517672000003</v>
      </c>
      <c r="U130" s="5">
        <f>Table1[[#This Row],[May_Projected_Pay]]*0.02</f>
        <v>234.55879418000001</v>
      </c>
      <c r="V130" s="5">
        <v>600</v>
      </c>
      <c r="W130" s="45">
        <v>17461.834193999999</v>
      </c>
      <c r="X130" s="5">
        <f>Table1[[#This Row],[Jun_Projected_Pay]]*0.08</f>
        <v>1396.9467355199999</v>
      </c>
      <c r="Y130" s="5">
        <f>Table1[[#This Row],[Jun_Projected_Pay]]*0.02</f>
        <v>349.23668387999999</v>
      </c>
      <c r="Z130" s="5">
        <v>600</v>
      </c>
      <c r="AA130" s="45">
        <v>26607.472115</v>
      </c>
      <c r="AB130" s="5">
        <f>Table1[[#This Row],[Jul_Projected_Pay]]*0.08</f>
        <v>2128.5977692000001</v>
      </c>
      <c r="AC130" s="5">
        <f>Table1[[#This Row],[Jul_Projected_Pay]]*0.02</f>
        <v>532.14944230000003</v>
      </c>
      <c r="AD130" s="5">
        <v>600</v>
      </c>
      <c r="AE130" s="45">
        <v>5386.4034000000001</v>
      </c>
      <c r="AF130" s="5">
        <f>Table1[[#This Row],[Aug_Projected_Pay]]*0.08</f>
        <v>430.91227200000003</v>
      </c>
      <c r="AG130" s="5">
        <f>Table1[[#This Row],[Aug_Projected_Pay]]*0.02</f>
        <v>107.72806800000001</v>
      </c>
      <c r="AH130" s="5">
        <v>600</v>
      </c>
      <c r="AI130" s="45">
        <v>21983.099627</v>
      </c>
      <c r="AJ130" s="5">
        <f>Table1[[#This Row],[Sep_Projected_Pay]]*0.08</f>
        <v>1758.6479701600001</v>
      </c>
      <c r="AK130" s="5">
        <f>Table1[[#This Row],[Sep_Projected_Pay]]*0.02</f>
        <v>439.66199254000003</v>
      </c>
      <c r="AL130" s="5">
        <v>600</v>
      </c>
      <c r="AM130" s="45">
        <v>10009.609473</v>
      </c>
      <c r="AN130" s="5">
        <f>Table1[[#This Row],[Oct_Projected_Pay]]*0.08</f>
        <v>800.76875784000003</v>
      </c>
      <c r="AO130" s="5">
        <f>Table1[[#This Row],[Oct_Projected_Pay]]*0.02</f>
        <v>200.19218946000001</v>
      </c>
      <c r="AP130" s="5">
        <v>600</v>
      </c>
      <c r="AQ130" s="45">
        <v>814.620136</v>
      </c>
      <c r="AR130" s="5">
        <f>Table1[[#This Row],[Nov_Projected_Pay]]*0.08</f>
        <v>65.169610880000008</v>
      </c>
      <c r="AS130" s="5">
        <f>Table1[[#This Row],[Nov_Projected_Pay]]*0.02</f>
        <v>16.292402720000002</v>
      </c>
      <c r="AT130" s="5">
        <v>600</v>
      </c>
      <c r="AU130" s="45">
        <v>8941.7566430000006</v>
      </c>
      <c r="AV130" s="5">
        <f>Table1[[#This Row],[Dec_Projected_Pay]]*0.08</f>
        <v>715.34053144000006</v>
      </c>
      <c r="AW130" s="5">
        <f>Table1[[#This Row],[Dec_Projected_Pay]]*0.02</f>
        <v>178.83513286000002</v>
      </c>
      <c r="AX130" s="5">
        <v>600</v>
      </c>
      <c r="AY130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150331.891837</v>
      </c>
      <c r="AZ130" s="59">
        <f>D130+H130+L130+P130+T130+X130+AB130+AF130+AJ130+AN130+AR130+AV130</f>
        <v>12026.551346960001</v>
      </c>
      <c r="BA130" s="59">
        <f>E130+I130+M130+Q130+U130+Y130+AC130+AG130+AK130+AO130+AS130+AW130</f>
        <v>3006.6378367400002</v>
      </c>
      <c r="BB130" s="59">
        <f>F130+J130+N130+R130+V130+Z130+AD130+AH130+AL130+AP130+AT130+AX130</f>
        <v>7200</v>
      </c>
    </row>
    <row r="131" spans="1:54" x14ac:dyDescent="0.3">
      <c r="A131" t="s">
        <v>210</v>
      </c>
      <c r="B131" t="s">
        <v>201</v>
      </c>
      <c r="C131" s="46">
        <v>3562</v>
      </c>
      <c r="D131" s="5">
        <f>Table1[[#This Row],[Jan_Projected_Pay]]*0.08</f>
        <v>284.95999999999998</v>
      </c>
      <c r="E131" s="5">
        <f>Table1[[#This Row],[Jan_Projected_Pay]]*0.02</f>
        <v>71.239999999999995</v>
      </c>
      <c r="F131" s="5">
        <v>600</v>
      </c>
      <c r="G131" s="45">
        <v>5680</v>
      </c>
      <c r="H131" s="5">
        <f>Table1[[#This Row],[Feb_Projected_Pay]]*0.08</f>
        <v>454.40000000000003</v>
      </c>
      <c r="I131" s="5">
        <f>Table1[[#This Row],[Feb_Projected_Pay]]*0.02</f>
        <v>113.60000000000001</v>
      </c>
      <c r="J131" s="5">
        <v>600</v>
      </c>
      <c r="K131" s="45">
        <v>9854</v>
      </c>
      <c r="L131" s="5">
        <f>Table1[[#This Row],[Mar_Projected_Pay]]*0.08</f>
        <v>788.32</v>
      </c>
      <c r="M131" s="5">
        <f>Table1[[#This Row],[Mar_Projected_Pay]]*0.02</f>
        <v>197.08</v>
      </c>
      <c r="N131" s="5">
        <v>600</v>
      </c>
      <c r="O131" s="45">
        <v>12580</v>
      </c>
      <c r="P131" s="5">
        <f>Table1[[#This Row],[Apr_Projected_Pay]]*0.08</f>
        <v>1006.4</v>
      </c>
      <c r="Q131" s="5">
        <f>Table1[[#This Row],[Apr_Projected_Pay]]*0.02</f>
        <v>251.6</v>
      </c>
      <c r="R131" s="5">
        <v>600</v>
      </c>
      <c r="S131" s="45">
        <v>15375</v>
      </c>
      <c r="T131" s="5">
        <f>Table1[[#This Row],[May_Projected_Pay]]*0.08</f>
        <v>1230</v>
      </c>
      <c r="U131" s="5">
        <f>Table1[[#This Row],[May_Projected_Pay]]*0.02</f>
        <v>307.5</v>
      </c>
      <c r="V131" s="5">
        <v>600</v>
      </c>
      <c r="W131" s="45">
        <v>16250</v>
      </c>
      <c r="X131" s="5">
        <f>Table1[[#This Row],[Jun_Projected_Pay]]*0.08</f>
        <v>1300</v>
      </c>
      <c r="Y131" s="5">
        <f>Table1[[#This Row],[Jun_Projected_Pay]]*0.02</f>
        <v>325</v>
      </c>
      <c r="Z131" s="5">
        <v>600</v>
      </c>
      <c r="AA131" s="45">
        <v>14235</v>
      </c>
      <c r="AB131" s="5">
        <f>Table1[[#This Row],[Jul_Projected_Pay]]*0.08</f>
        <v>1138.8</v>
      </c>
      <c r="AC131" s="5">
        <f>Table1[[#This Row],[Jul_Projected_Pay]]*0.02</f>
        <v>284.7</v>
      </c>
      <c r="AD131" s="5">
        <v>600</v>
      </c>
      <c r="AE131" s="45">
        <v>12360</v>
      </c>
      <c r="AF131" s="5">
        <f>Table1[[#This Row],[Aug_Projected_Pay]]*0.08</f>
        <v>988.80000000000007</v>
      </c>
      <c r="AG131" s="5">
        <f>Table1[[#This Row],[Aug_Projected_Pay]]*0.02</f>
        <v>247.20000000000002</v>
      </c>
      <c r="AH131" s="5">
        <v>600</v>
      </c>
      <c r="AI131" s="45">
        <v>18251</v>
      </c>
      <c r="AJ131" s="5">
        <f>Table1[[#This Row],[Sep_Projected_Pay]]*0.08</f>
        <v>1460.08</v>
      </c>
      <c r="AK131" s="5">
        <f>Table1[[#This Row],[Sep_Projected_Pay]]*0.02</f>
        <v>365.02</v>
      </c>
      <c r="AL131" s="5">
        <v>600</v>
      </c>
      <c r="AM131" s="45">
        <v>12654</v>
      </c>
      <c r="AN131" s="5">
        <f>Table1[[#This Row],[Oct_Projected_Pay]]*0.08</f>
        <v>1012.32</v>
      </c>
      <c r="AO131" s="5">
        <f>Table1[[#This Row],[Oct_Projected_Pay]]*0.02</f>
        <v>253.08</v>
      </c>
      <c r="AP131" s="5">
        <v>600</v>
      </c>
      <c r="AQ131" s="45">
        <v>19321</v>
      </c>
      <c r="AR131" s="5">
        <f>Table1[[#This Row],[Nov_Projected_Pay]]*0.08</f>
        <v>1545.68</v>
      </c>
      <c r="AS131" s="5">
        <f>Table1[[#This Row],[Nov_Projected_Pay]]*0.02</f>
        <v>386.42</v>
      </c>
      <c r="AT131" s="5">
        <v>600</v>
      </c>
      <c r="AU131" s="45">
        <v>8962</v>
      </c>
      <c r="AV131" s="5">
        <f>Table1[[#This Row],[Dec_Projected_Pay]]*0.08</f>
        <v>716.96</v>
      </c>
      <c r="AW131" s="5">
        <f>Table1[[#This Row],[Dec_Projected_Pay]]*0.02</f>
        <v>179.24</v>
      </c>
      <c r="AX131" s="5">
        <v>600</v>
      </c>
      <c r="AY131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149084</v>
      </c>
      <c r="AZ131" s="59">
        <f>D131+H131+L131+P131+T131+X131+AB131+AF131+AJ131+AN131+AR131+AV131</f>
        <v>11926.720000000001</v>
      </c>
      <c r="BA131" s="59">
        <f>E131+I131+M131+Q131+U131+Y131+AC131+AG131+AK131+AO131+AS131+AW131</f>
        <v>2981.6800000000003</v>
      </c>
      <c r="BB131" s="59">
        <f>F131+J131+N131+R131+V131+Z131+AD131+AH131+AL131+AP131+AT131+AX131</f>
        <v>7200</v>
      </c>
    </row>
    <row r="132" spans="1:54" x14ac:dyDescent="0.3">
      <c r="A132" t="s">
        <v>211</v>
      </c>
      <c r="B132" t="s">
        <v>212</v>
      </c>
      <c r="C132" s="46">
        <v>5326</v>
      </c>
      <c r="D132" s="5">
        <f>Table1[[#This Row],[Jan_Projected_Pay]]*0.08</f>
        <v>426.08</v>
      </c>
      <c r="E132" s="5">
        <f>Table1[[#This Row],[Jan_Projected_Pay]]*0.02</f>
        <v>106.52</v>
      </c>
      <c r="F132" s="5">
        <v>600</v>
      </c>
      <c r="G132" s="45">
        <v>231.10868600000001</v>
      </c>
      <c r="H132" s="5">
        <f>Table1[[#This Row],[Feb_Projected_Pay]]*0.08</f>
        <v>18.488694880000001</v>
      </c>
      <c r="I132" s="5">
        <f>Table1[[#This Row],[Feb_Projected_Pay]]*0.02</f>
        <v>4.6221737200000002</v>
      </c>
      <c r="J132" s="5">
        <v>600</v>
      </c>
      <c r="K132" s="45">
        <v>7256</v>
      </c>
      <c r="L132" s="5">
        <f>Table1[[#This Row],[Mar_Projected_Pay]]*0.08</f>
        <v>580.48</v>
      </c>
      <c r="M132" s="5">
        <f>Table1[[#This Row],[Mar_Projected_Pay]]*0.02</f>
        <v>145.12</v>
      </c>
      <c r="N132" s="5">
        <v>600</v>
      </c>
      <c r="O132" s="45">
        <v>15230</v>
      </c>
      <c r="P132" s="5">
        <f>Table1[[#This Row],[Apr_Projected_Pay]]*0.08</f>
        <v>1218.4000000000001</v>
      </c>
      <c r="Q132" s="5">
        <f>Table1[[#This Row],[Apr_Projected_Pay]]*0.02</f>
        <v>304.60000000000002</v>
      </c>
      <c r="R132" s="5">
        <v>600</v>
      </c>
      <c r="S132" s="45">
        <v>17235</v>
      </c>
      <c r="T132" s="5">
        <f>Table1[[#This Row],[May_Projected_Pay]]*0.08</f>
        <v>1378.8</v>
      </c>
      <c r="U132" s="5">
        <f>Table1[[#This Row],[May_Projected_Pay]]*0.02</f>
        <v>344.7</v>
      </c>
      <c r="V132" s="5">
        <v>600</v>
      </c>
      <c r="W132" s="45">
        <v>15329</v>
      </c>
      <c r="X132" s="5">
        <f>Table1[[#This Row],[Jun_Projected_Pay]]*0.08</f>
        <v>1226.32</v>
      </c>
      <c r="Y132" s="5">
        <f>Table1[[#This Row],[Jun_Projected_Pay]]*0.02</f>
        <v>306.58</v>
      </c>
      <c r="Z132" s="5">
        <v>600</v>
      </c>
      <c r="AA132" s="45">
        <v>16232</v>
      </c>
      <c r="AB132" s="5">
        <f>Table1[[#This Row],[Jul_Projected_Pay]]*0.08</f>
        <v>1298.56</v>
      </c>
      <c r="AC132" s="5">
        <f>Table1[[#This Row],[Jul_Projected_Pay]]*0.02</f>
        <v>324.64</v>
      </c>
      <c r="AD132" s="5">
        <v>600</v>
      </c>
      <c r="AE132" s="45">
        <v>8396.9202270000005</v>
      </c>
      <c r="AF132" s="5">
        <f>Table1[[#This Row],[Aug_Projected_Pay]]*0.08</f>
        <v>671.75361816000009</v>
      </c>
      <c r="AG132" s="5">
        <f>Table1[[#This Row],[Aug_Projected_Pay]]*0.02</f>
        <v>167.93840454000002</v>
      </c>
      <c r="AH132" s="5">
        <v>600</v>
      </c>
      <c r="AI132" s="45">
        <v>10150</v>
      </c>
      <c r="AJ132" s="5">
        <f>Table1[[#This Row],[Sep_Projected_Pay]]*0.08</f>
        <v>812</v>
      </c>
      <c r="AK132" s="5">
        <f>Table1[[#This Row],[Sep_Projected_Pay]]*0.02</f>
        <v>203</v>
      </c>
      <c r="AL132" s="5">
        <v>600</v>
      </c>
      <c r="AM132" s="45">
        <v>15853.609501000001</v>
      </c>
      <c r="AN132" s="5">
        <f>Table1[[#This Row],[Oct_Projected_Pay]]*0.08</f>
        <v>1268.2887600800002</v>
      </c>
      <c r="AO132" s="5">
        <f>Table1[[#This Row],[Oct_Projected_Pay]]*0.02</f>
        <v>317.07219002000005</v>
      </c>
      <c r="AP132" s="5">
        <v>600</v>
      </c>
      <c r="AQ132" s="45">
        <v>39221</v>
      </c>
      <c r="AR132" s="5">
        <f>Table1[[#This Row],[Nov_Projected_Pay]]*0.08</f>
        <v>3137.6800000000003</v>
      </c>
      <c r="AS132" s="5">
        <f>Table1[[#This Row],[Nov_Projected_Pay]]*0.02</f>
        <v>784.42000000000007</v>
      </c>
      <c r="AT132" s="5">
        <v>600</v>
      </c>
      <c r="AU132" s="45">
        <v>15326</v>
      </c>
      <c r="AV132" s="5">
        <f>Table1[[#This Row],[Dec_Projected_Pay]]*0.08</f>
        <v>1226.08</v>
      </c>
      <c r="AW132" s="5">
        <f>Table1[[#This Row],[Dec_Projected_Pay]]*0.02</f>
        <v>306.52</v>
      </c>
      <c r="AX132" s="5">
        <v>600</v>
      </c>
      <c r="AY132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165786.63841399999</v>
      </c>
      <c r="AZ132" s="59">
        <f>D132+H132+L132+P132+T132+X132+AB132+AF132+AJ132+AN132+AR132+AV132</f>
        <v>13262.93107312</v>
      </c>
      <c r="BA132" s="59">
        <f>E132+I132+M132+Q132+U132+Y132+AC132+AG132+AK132+AO132+AS132+AW132</f>
        <v>3315.7327682800001</v>
      </c>
      <c r="BB132" s="59">
        <f>F132+J132+N132+R132+V132+Z132+AD132+AH132+AL132+AP132+AT132+AX132</f>
        <v>7200</v>
      </c>
    </row>
    <row r="133" spans="1:54" x14ac:dyDescent="0.3">
      <c r="A133" s="43" t="s">
        <v>213</v>
      </c>
      <c r="B133" t="s">
        <v>135</v>
      </c>
      <c r="C133" s="46">
        <v>49250</v>
      </c>
      <c r="D133" s="5">
        <f>Table1[[#This Row],[Jan_Projected_Pay]]*0.08</f>
        <v>3940</v>
      </c>
      <c r="E133" s="5">
        <f>Table1[[#This Row],[Jan_Projected_Pay]]*0.02</f>
        <v>985</v>
      </c>
      <c r="F133" s="5">
        <v>458</v>
      </c>
      <c r="G133" s="45">
        <v>23349</v>
      </c>
      <c r="H133" s="5">
        <f>Table1[[#This Row],[Feb_Projected_Pay]]*0.08</f>
        <v>1867.92</v>
      </c>
      <c r="I133" s="5">
        <f>Table1[[#This Row],[Feb_Projected_Pay]]*0.02</f>
        <v>466.98</v>
      </c>
      <c r="J133" s="5">
        <v>458</v>
      </c>
      <c r="K133" s="45">
        <v>35393</v>
      </c>
      <c r="L133" s="5">
        <f>Table1[[#This Row],[Mar_Projected_Pay]]*0.08</f>
        <v>2831.44</v>
      </c>
      <c r="M133" s="5">
        <f>Table1[[#This Row],[Mar_Projected_Pay]]*0.02</f>
        <v>707.86</v>
      </c>
      <c r="N133" s="5">
        <v>458</v>
      </c>
      <c r="O133" s="45">
        <v>47406</v>
      </c>
      <c r="P133" s="5">
        <f>Table1[[#This Row],[Apr_Projected_Pay]]*0.08</f>
        <v>3792.48</v>
      </c>
      <c r="Q133" s="5">
        <f>Table1[[#This Row],[Apr_Projected_Pay]]*0.02</f>
        <v>948.12</v>
      </c>
      <c r="R133" s="5">
        <v>458</v>
      </c>
      <c r="S133" s="45">
        <v>67543</v>
      </c>
      <c r="T133" s="5">
        <f>Table1[[#This Row],[May_Projected_Pay]]*0.08</f>
        <v>5403.4400000000005</v>
      </c>
      <c r="U133" s="5">
        <f>Table1[[#This Row],[May_Projected_Pay]]*0.02</f>
        <v>1350.8600000000001</v>
      </c>
      <c r="V133" s="5">
        <v>458</v>
      </c>
      <c r="W133" s="45">
        <v>136007</v>
      </c>
      <c r="X133" s="5">
        <f>Table1[[#This Row],[Jun_Projected_Pay]]*0.08</f>
        <v>10880.56</v>
      </c>
      <c r="Y133" s="5">
        <f>Table1[[#This Row],[Jun_Projected_Pay]]*0.02</f>
        <v>2720.14</v>
      </c>
      <c r="Z133" s="5">
        <v>458</v>
      </c>
      <c r="AA133" s="45">
        <v>174023</v>
      </c>
      <c r="AB133" s="5">
        <f>Table1[[#This Row],[Jul_Projected_Pay]]*0.08</f>
        <v>13921.84</v>
      </c>
      <c r="AC133" s="5">
        <f>Table1[[#This Row],[Jul_Projected_Pay]]*0.02</f>
        <v>3480.46</v>
      </c>
      <c r="AD133" s="5">
        <v>458</v>
      </c>
      <c r="AE133" s="45">
        <v>65107</v>
      </c>
      <c r="AF133" s="5">
        <f>Table1[[#This Row],[Aug_Projected_Pay]]*0.08</f>
        <v>5208.5600000000004</v>
      </c>
      <c r="AG133" s="5">
        <f>Table1[[#This Row],[Aug_Projected_Pay]]*0.02</f>
        <v>1302.1400000000001</v>
      </c>
      <c r="AH133" s="5">
        <v>458</v>
      </c>
      <c r="AI133" s="45">
        <v>176842</v>
      </c>
      <c r="AJ133" s="5">
        <f>Table1[[#This Row],[Sep_Projected_Pay]]*0.08</f>
        <v>14147.36</v>
      </c>
      <c r="AK133" s="5">
        <f>Table1[[#This Row],[Sep_Projected_Pay]]*0.02</f>
        <v>3536.84</v>
      </c>
      <c r="AL133" s="5">
        <v>458</v>
      </c>
      <c r="AM133" s="45">
        <v>152107</v>
      </c>
      <c r="AN133" s="5">
        <f>Table1[[#This Row],[Oct_Projected_Pay]]*0.08</f>
        <v>12168.56</v>
      </c>
      <c r="AO133" s="5">
        <f>Table1[[#This Row],[Oct_Projected_Pay]]*0.02</f>
        <v>3042.14</v>
      </c>
      <c r="AP133" s="5">
        <v>458</v>
      </c>
      <c r="AQ133" s="45">
        <v>62840</v>
      </c>
      <c r="AR133" s="5">
        <f>Table1[[#This Row],[Nov_Projected_Pay]]*0.08</f>
        <v>5027.2</v>
      </c>
      <c r="AS133" s="5">
        <f>Table1[[#This Row],[Nov_Projected_Pay]]*0.02</f>
        <v>1256.8</v>
      </c>
      <c r="AT133" s="5">
        <v>458</v>
      </c>
      <c r="AU133" s="45">
        <v>71808</v>
      </c>
      <c r="AV133" s="5">
        <f>Table1[[#This Row],[Dec_Projected_Pay]]*0.08</f>
        <v>5744.64</v>
      </c>
      <c r="AW133" s="5">
        <f>Table1[[#This Row],[Dec_Projected_Pay]]*0.02</f>
        <v>1436.16</v>
      </c>
      <c r="AX133" s="5">
        <v>458</v>
      </c>
      <c r="AY133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1061675</v>
      </c>
      <c r="AZ133" s="59">
        <f>D133+H133+L133+P133+T133+X133+AB133+AF133+AJ133+AN133+AR133+AV133</f>
        <v>84933.999999999985</v>
      </c>
      <c r="BA133" s="59">
        <f>E133+I133+M133+Q133+U133+Y133+AC133+AG133+AK133+AO133+AS133+AW133</f>
        <v>21233.499999999996</v>
      </c>
      <c r="BB133" s="59">
        <f>F133+J133+N133+R133+V133+Z133+AD133+AH133+AL133+AP133+AT133+AX133</f>
        <v>5496</v>
      </c>
    </row>
    <row r="134" spans="1:54" x14ac:dyDescent="0.3">
      <c r="A134" t="s">
        <v>214</v>
      </c>
      <c r="B134" t="s">
        <v>135</v>
      </c>
      <c r="C134" s="46">
        <v>15850</v>
      </c>
      <c r="D134" s="5">
        <f>Table1[[#This Row],[Jan_Projected_Pay]]*0.08</f>
        <v>1268</v>
      </c>
      <c r="E134" s="5">
        <f>Table1[[#This Row],[Jan_Projected_Pay]]*0.02</f>
        <v>317</v>
      </c>
      <c r="F134" s="5">
        <v>458</v>
      </c>
      <c r="G134" s="45">
        <v>22944</v>
      </c>
      <c r="H134" s="5">
        <f>Table1[[#This Row],[Feb_Projected_Pay]]*0.08</f>
        <v>1835.52</v>
      </c>
      <c r="I134" s="5">
        <f>Table1[[#This Row],[Feb_Projected_Pay]]*0.02</f>
        <v>458.88</v>
      </c>
      <c r="J134" s="5">
        <v>458</v>
      </c>
      <c r="K134" s="45">
        <v>5392</v>
      </c>
      <c r="L134" s="5">
        <f>Table1[[#This Row],[Mar_Projected_Pay]]*0.08</f>
        <v>431.36</v>
      </c>
      <c r="M134" s="5">
        <f>Table1[[#This Row],[Mar_Projected_Pay]]*0.02</f>
        <v>107.84</v>
      </c>
      <c r="N134" s="5">
        <v>458</v>
      </c>
      <c r="O134" s="45">
        <v>31176</v>
      </c>
      <c r="P134" s="5">
        <f>Table1[[#This Row],[Apr_Projected_Pay]]*0.08</f>
        <v>2494.08</v>
      </c>
      <c r="Q134" s="5">
        <f>Table1[[#This Row],[Apr_Projected_Pay]]*0.02</f>
        <v>623.52</v>
      </c>
      <c r="R134" s="5">
        <v>458</v>
      </c>
      <c r="S134" s="45">
        <v>26220</v>
      </c>
      <c r="T134" s="5">
        <f>Table1[[#This Row],[May_Projected_Pay]]*0.08</f>
        <v>2097.6</v>
      </c>
      <c r="U134" s="5">
        <f>Table1[[#This Row],[May_Projected_Pay]]*0.02</f>
        <v>524.4</v>
      </c>
      <c r="V134" s="5">
        <v>458</v>
      </c>
      <c r="W134" s="45">
        <v>59768</v>
      </c>
      <c r="X134" s="5">
        <f>Table1[[#This Row],[Jun_Projected_Pay]]*0.08</f>
        <v>4781.4400000000005</v>
      </c>
      <c r="Y134" s="5">
        <f>Table1[[#This Row],[Jun_Projected_Pay]]*0.02</f>
        <v>1195.3600000000001</v>
      </c>
      <c r="Z134" s="5">
        <v>458</v>
      </c>
      <c r="AA134" s="45">
        <v>33315</v>
      </c>
      <c r="AB134" s="5">
        <f>Table1[[#This Row],[Jul_Projected_Pay]]*0.08</f>
        <v>2665.2000000000003</v>
      </c>
      <c r="AC134" s="5">
        <f>Table1[[#This Row],[Jul_Projected_Pay]]*0.02</f>
        <v>666.30000000000007</v>
      </c>
      <c r="AD134" s="5">
        <v>458</v>
      </c>
      <c r="AE134" s="45">
        <v>41830</v>
      </c>
      <c r="AF134" s="5">
        <f>Table1[[#This Row],[Aug_Projected_Pay]]*0.08</f>
        <v>3346.4</v>
      </c>
      <c r="AG134" s="5">
        <f>Table1[[#This Row],[Aug_Projected_Pay]]*0.02</f>
        <v>836.6</v>
      </c>
      <c r="AH134" s="5">
        <v>458</v>
      </c>
      <c r="AI134" s="45">
        <v>52522</v>
      </c>
      <c r="AJ134" s="5">
        <f>Table1[[#This Row],[Sep_Projected_Pay]]*0.08</f>
        <v>4201.76</v>
      </c>
      <c r="AK134" s="5">
        <f>Table1[[#This Row],[Sep_Projected_Pay]]*0.02</f>
        <v>1050.44</v>
      </c>
      <c r="AL134" s="5">
        <v>458</v>
      </c>
      <c r="AM134" s="45">
        <v>43090</v>
      </c>
      <c r="AN134" s="5">
        <f>Table1[[#This Row],[Oct_Projected_Pay]]*0.08</f>
        <v>3447.2000000000003</v>
      </c>
      <c r="AO134" s="5">
        <f>Table1[[#This Row],[Oct_Projected_Pay]]*0.02</f>
        <v>861.80000000000007</v>
      </c>
      <c r="AP134" s="5">
        <v>458</v>
      </c>
      <c r="AQ134" s="45">
        <v>18852</v>
      </c>
      <c r="AR134" s="5">
        <f>Table1[[#This Row],[Nov_Projected_Pay]]*0.08</f>
        <v>1508.16</v>
      </c>
      <c r="AS134" s="5">
        <f>Table1[[#This Row],[Nov_Projected_Pay]]*0.02</f>
        <v>377.04</v>
      </c>
      <c r="AT134" s="5">
        <v>458</v>
      </c>
      <c r="AU134" s="45">
        <v>9464</v>
      </c>
      <c r="AV134" s="5">
        <f>Table1[[#This Row],[Dec_Projected_Pay]]*0.08</f>
        <v>757.12</v>
      </c>
      <c r="AW134" s="5">
        <f>Table1[[#This Row],[Dec_Projected_Pay]]*0.02</f>
        <v>189.28</v>
      </c>
      <c r="AX134" s="5">
        <v>458</v>
      </c>
      <c r="AY134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360423</v>
      </c>
      <c r="AZ134" s="59">
        <f>D134+H134+L134+P134+T134+X134+AB134+AF134+AJ134+AN134+AR134+AV134</f>
        <v>28833.84</v>
      </c>
      <c r="BA134" s="59">
        <f>E134+I134+M134+Q134+U134+Y134+AC134+AG134+AK134+AO134+AS134+AW134</f>
        <v>7208.46</v>
      </c>
      <c r="BB134" s="59">
        <f>F134+J134+N134+R134+V134+Z134+AD134+AH134+AL134+AP134+AT134+AX134</f>
        <v>5496</v>
      </c>
    </row>
    <row r="135" spans="1:54" x14ac:dyDescent="0.3">
      <c r="A135" t="s">
        <v>215</v>
      </c>
      <c r="B135" t="s">
        <v>163</v>
      </c>
      <c r="C135" s="46">
        <v>1146.2263579999999</v>
      </c>
      <c r="D135" s="5">
        <f>Table1[[#This Row],[Jan_Projected_Pay]]*0.08</f>
        <v>91.698108639999987</v>
      </c>
      <c r="E135" s="5">
        <f>Table1[[#This Row],[Jan_Projected_Pay]]*0.02</f>
        <v>22.924527159999997</v>
      </c>
      <c r="F135" s="5">
        <v>600</v>
      </c>
      <c r="G135" s="45">
        <v>1146.2263579999999</v>
      </c>
      <c r="H135" s="5">
        <f>Table1[[#This Row],[Feb_Projected_Pay]]*0.08</f>
        <v>91.698108639999987</v>
      </c>
      <c r="I135" s="5">
        <f>Table1[[#This Row],[Feb_Projected_Pay]]*0.02</f>
        <v>22.924527159999997</v>
      </c>
      <c r="J135" s="5">
        <v>600</v>
      </c>
      <c r="K135" s="45">
        <v>9086.6133059999993</v>
      </c>
      <c r="L135" s="5">
        <f>Table1[[#This Row],[Mar_Projected_Pay]]*0.08</f>
        <v>726.92906447999997</v>
      </c>
      <c r="M135" s="5">
        <f>Table1[[#This Row],[Mar_Projected_Pay]]*0.02</f>
        <v>181.73226611999999</v>
      </c>
      <c r="N135" s="5">
        <v>600</v>
      </c>
      <c r="O135" s="45">
        <v>26144.807615999998</v>
      </c>
      <c r="P135" s="5">
        <f>Table1[[#This Row],[Apr_Projected_Pay]]*0.08</f>
        <v>2091.5846092799998</v>
      </c>
      <c r="Q135" s="5">
        <f>Table1[[#This Row],[Apr_Projected_Pay]]*0.02</f>
        <v>522.89615231999994</v>
      </c>
      <c r="R135" s="5">
        <v>600</v>
      </c>
      <c r="S135" s="45">
        <v>17961.944631999999</v>
      </c>
      <c r="T135" s="5">
        <f>Table1[[#This Row],[May_Projected_Pay]]*0.08</f>
        <v>1436.9555705599998</v>
      </c>
      <c r="U135" s="5">
        <f>Table1[[#This Row],[May_Projected_Pay]]*0.02</f>
        <v>359.23889263999996</v>
      </c>
      <c r="V135" s="5">
        <v>600</v>
      </c>
      <c r="W135" s="45">
        <v>25056.381641</v>
      </c>
      <c r="X135" s="5">
        <f>Table1[[#This Row],[Jun_Projected_Pay]]*0.08</f>
        <v>2004.5105312800001</v>
      </c>
      <c r="Y135" s="5">
        <f>Table1[[#This Row],[Jun_Projected_Pay]]*0.02</f>
        <v>501.12763282000003</v>
      </c>
      <c r="Z135" s="5">
        <v>600</v>
      </c>
      <c r="AA135" s="45">
        <v>41811</v>
      </c>
      <c r="AB135" s="5">
        <f>Table1[[#This Row],[Jul_Projected_Pay]]*0.08</f>
        <v>3344.88</v>
      </c>
      <c r="AC135" s="5">
        <f>Table1[[#This Row],[Jul_Projected_Pay]]*0.02</f>
        <v>836.22</v>
      </c>
      <c r="AD135" s="5">
        <v>600</v>
      </c>
      <c r="AE135" s="45">
        <v>62548</v>
      </c>
      <c r="AF135" s="5">
        <f>Table1[[#This Row],[Aug_Projected_Pay]]*0.08</f>
        <v>5003.84</v>
      </c>
      <c r="AG135" s="5">
        <f>Table1[[#This Row],[Aug_Projected_Pay]]*0.02</f>
        <v>1250.96</v>
      </c>
      <c r="AH135" s="5">
        <v>600</v>
      </c>
      <c r="AI135" s="45">
        <v>27741</v>
      </c>
      <c r="AJ135" s="5">
        <f>Table1[[#This Row],[Sep_Projected_Pay]]*0.08</f>
        <v>2219.2800000000002</v>
      </c>
      <c r="AK135" s="5">
        <f>Table1[[#This Row],[Sep_Projected_Pay]]*0.02</f>
        <v>554.82000000000005</v>
      </c>
      <c r="AL135" s="5">
        <v>600</v>
      </c>
      <c r="AM135" s="45">
        <v>45717</v>
      </c>
      <c r="AN135" s="5">
        <f>Table1[[#This Row],[Oct_Projected_Pay]]*0.08</f>
        <v>3657.36</v>
      </c>
      <c r="AO135" s="5">
        <f>Table1[[#This Row],[Oct_Projected_Pay]]*0.02</f>
        <v>914.34</v>
      </c>
      <c r="AP135" s="5">
        <v>600</v>
      </c>
      <c r="AQ135" s="45">
        <v>8685</v>
      </c>
      <c r="AR135" s="5">
        <f>Table1[[#This Row],[Nov_Projected_Pay]]*0.08</f>
        <v>694.80000000000007</v>
      </c>
      <c r="AS135" s="5">
        <f>Table1[[#This Row],[Nov_Projected_Pay]]*0.02</f>
        <v>173.70000000000002</v>
      </c>
      <c r="AT135" s="5">
        <v>600</v>
      </c>
      <c r="AU135" s="45">
        <v>6748.2933350000003</v>
      </c>
      <c r="AV135" s="5">
        <f>Table1[[#This Row],[Dec_Projected_Pay]]*0.08</f>
        <v>539.86346680000008</v>
      </c>
      <c r="AW135" s="5">
        <f>Table1[[#This Row],[Dec_Projected_Pay]]*0.02</f>
        <v>134.96586670000002</v>
      </c>
      <c r="AX135" s="5">
        <v>600</v>
      </c>
      <c r="AY135" s="5">
        <f>Table1[[#This Row],[Dec_Projected_Pay]]+Table1[[#This Row],[Nov_Projected_Pay]]+Table1[[#This Row],[Oct_Projected_Pay]]+Table1[[#This Row],[Sep_Projected_Pay]]+Table1[[#This Row],[Aug_Projected_Pay]]+Table1[[#This Row],[Jul_Projected_Pay]]+Table1[[#This Row],[Jun_Projected_Pay]]+Table1[[#This Row],[May_Projected_Pay]]+Table1[[#This Row],[Apr_Projected_Pay]]+Table1[[#This Row],[Mar_Projected_Pay]]+Table1[[#This Row],[Feb_Projected_Pay]]+Table1[[#This Row],[Jan_Projected_Pay]]</f>
        <v>273792.49324600003</v>
      </c>
      <c r="AZ135" s="59">
        <f>D135+H135+L135+P135+T135+X135+AB135+AF135+AJ135+AN135+AR135+AV135</f>
        <v>21903.39945968</v>
      </c>
      <c r="BA135" s="59">
        <f>E135+I135+M135+Q135+U135+Y135+AC135+AG135+AK135+AO135+AS135+AW135</f>
        <v>5475.8498649200001</v>
      </c>
      <c r="BB135" s="59">
        <f>F135+J135+N135+R135+V135+Z135+AD135+AH135+AL135+AP135+AT135+AX135</f>
        <v>7200</v>
      </c>
    </row>
    <row r="136" spans="1:54" x14ac:dyDescent="0.3">
      <c r="C136" s="5">
        <f>SUBTOTAL(109,Table1[Jan_Projected_Pay])</f>
        <v>1331655.3813659998</v>
      </c>
      <c r="D136" s="5">
        <f>SUBTOTAL(109,Table1[Jan_Royalty_8pct])</f>
        <v>106532.43050928002</v>
      </c>
      <c r="E136" s="5">
        <f>SUBTOTAL(109,Table1[Jan_NAF_2pct])</f>
        <v>27283.107627320005</v>
      </c>
      <c r="F136" s="5">
        <f>SUBTOTAL(109,Table1[Jan_Tech_Fee])</f>
        <v>46244</v>
      </c>
      <c r="G136" s="5">
        <f>SUBTOTAL(109,Table1[Feb_Projected_Pay])</f>
        <v>909309.28244699992</v>
      </c>
      <c r="H136" s="5">
        <f>SUBTOTAL(109,Table1[Feb_Royalty_8pct])</f>
        <v>72744.742595759977</v>
      </c>
      <c r="I136" s="5">
        <f>SUBTOTAL(109,Table1[Feb_NAF_2pct])</f>
        <v>18186.185648939994</v>
      </c>
      <c r="J136" s="5">
        <f t="shared" ref="J136:BB136" si="0">SUBTOTAL(109,J2:J135)</f>
        <v>49952</v>
      </c>
      <c r="K136" s="5">
        <f t="shared" si="0"/>
        <v>1567939.611147</v>
      </c>
      <c r="L136" s="5">
        <f t="shared" si="0"/>
        <v>125435.16889176001</v>
      </c>
      <c r="M136" s="5">
        <f t="shared" si="0"/>
        <v>31358.792222940003</v>
      </c>
      <c r="N136" s="5">
        <f t="shared" si="0"/>
        <v>55669</v>
      </c>
      <c r="O136" s="5">
        <f t="shared" si="0"/>
        <v>2458322.9396050004</v>
      </c>
      <c r="P136" s="5">
        <f t="shared" si="0"/>
        <v>196665.83516840002</v>
      </c>
      <c r="Q136" s="5">
        <f t="shared" si="0"/>
        <v>49284.938792100002</v>
      </c>
      <c r="R136" s="5">
        <f t="shared" si="0"/>
        <v>56619</v>
      </c>
      <c r="S136" s="5">
        <f t="shared" si="0"/>
        <v>3097220.4730819995</v>
      </c>
      <c r="T136" s="5">
        <f t="shared" si="0"/>
        <v>247777.63784656001</v>
      </c>
      <c r="U136" s="5">
        <f t="shared" si="0"/>
        <v>61944.409461640003</v>
      </c>
      <c r="V136" s="5">
        <f t="shared" si="0"/>
        <v>57919</v>
      </c>
      <c r="W136" s="5">
        <f t="shared" si="0"/>
        <v>3304787.4127473142</v>
      </c>
      <c r="X136" s="5">
        <f t="shared" si="0"/>
        <v>264382.99301978527</v>
      </c>
      <c r="Y136" s="5">
        <f t="shared" si="0"/>
        <v>66095.748254946317</v>
      </c>
      <c r="Z136" s="5">
        <f t="shared" si="0"/>
        <v>59219</v>
      </c>
      <c r="AA136" s="5">
        <f t="shared" si="0"/>
        <v>3896580.911625098</v>
      </c>
      <c r="AB136" s="5">
        <f t="shared" si="0"/>
        <v>311726.47293000791</v>
      </c>
      <c r="AC136" s="5">
        <f t="shared" si="0"/>
        <v>77931.618232501976</v>
      </c>
      <c r="AD136" s="5">
        <f t="shared" si="0"/>
        <v>63769</v>
      </c>
      <c r="AE136" s="5">
        <f t="shared" si="0"/>
        <v>3519262.1397276972</v>
      </c>
      <c r="AF136" s="5">
        <f t="shared" si="0"/>
        <v>281540.97117821575</v>
      </c>
      <c r="AG136" s="5">
        <f t="shared" si="0"/>
        <v>70385.242794553938</v>
      </c>
      <c r="AH136" s="5">
        <f t="shared" si="0"/>
        <v>63769</v>
      </c>
      <c r="AI136" s="5">
        <f t="shared" si="0"/>
        <v>4160114.3325537154</v>
      </c>
      <c r="AJ136" s="5">
        <f t="shared" si="0"/>
        <v>332809.14660429722</v>
      </c>
      <c r="AK136" s="5">
        <f t="shared" si="0"/>
        <v>83202.286651074304</v>
      </c>
      <c r="AL136" s="5">
        <f t="shared" si="0"/>
        <v>66369</v>
      </c>
      <c r="AM136" s="5">
        <f t="shared" si="0"/>
        <v>3498070.9923149841</v>
      </c>
      <c r="AN136" s="5">
        <f t="shared" si="0"/>
        <v>290076.39938519883</v>
      </c>
      <c r="AO136" s="5">
        <f t="shared" si="0"/>
        <v>69961.419846299716</v>
      </c>
      <c r="AP136" s="5">
        <f t="shared" si="0"/>
        <v>71569</v>
      </c>
      <c r="AQ136" s="5">
        <f t="shared" si="0"/>
        <v>2375082.9215278416</v>
      </c>
      <c r="AR136" s="5">
        <f t="shared" si="0"/>
        <v>190006.63372222727</v>
      </c>
      <c r="AS136" s="5">
        <f t="shared" si="0"/>
        <v>47501.658430556818</v>
      </c>
      <c r="AT136" s="5">
        <f t="shared" si="0"/>
        <v>72869</v>
      </c>
      <c r="AU136" s="5">
        <f t="shared" si="0"/>
        <v>1777699.7461845055</v>
      </c>
      <c r="AV136" s="5">
        <f t="shared" si="0"/>
        <v>142215.97969476043</v>
      </c>
      <c r="AW136" s="5">
        <f t="shared" si="0"/>
        <v>35553.994923690108</v>
      </c>
      <c r="AX136" s="5">
        <f t="shared" si="0"/>
        <v>75469</v>
      </c>
      <c r="AY136" s="51">
        <f t="shared" si="0"/>
        <v>31896046.144328147</v>
      </c>
      <c r="AZ136" s="51">
        <f t="shared" si="0"/>
        <v>2561914.4115462545</v>
      </c>
      <c r="BA136" s="51">
        <f t="shared" si="0"/>
        <v>638689.40288656368</v>
      </c>
      <c r="BB136" s="51">
        <f t="shared" si="0"/>
        <v>739436</v>
      </c>
    </row>
    <row r="140" spans="1:54" ht="15" thickBot="1" x14ac:dyDescent="0.35">
      <c r="A140" s="54" t="s">
        <v>297</v>
      </c>
      <c r="B140" s="54" t="s">
        <v>233</v>
      </c>
      <c r="C140" s="54" t="s">
        <v>298</v>
      </c>
      <c r="D140" s="54" t="s">
        <v>232</v>
      </c>
      <c r="E140" s="54" t="s">
        <v>236</v>
      </c>
      <c r="F140" s="55" t="s">
        <v>302</v>
      </c>
      <c r="G140" s="54" t="s">
        <v>237</v>
      </c>
      <c r="H140" s="54" t="s">
        <v>252</v>
      </c>
      <c r="I140" s="54" t="s">
        <v>253</v>
      </c>
    </row>
    <row r="141" spans="1:54" ht="15" thickBot="1" x14ac:dyDescent="0.35">
      <c r="A141" s="9"/>
      <c r="B141" s="9"/>
      <c r="C141" s="9"/>
      <c r="D141" s="14" t="s">
        <v>232</v>
      </c>
      <c r="E141" s="14" t="s">
        <v>235</v>
      </c>
      <c r="F141" s="19" t="s">
        <v>301</v>
      </c>
      <c r="G141" s="14"/>
      <c r="H141" s="14"/>
      <c r="I141" s="14"/>
      <c r="K141" s="41" t="s">
        <v>255</v>
      </c>
      <c r="L141" s="41" t="s">
        <v>258</v>
      </c>
    </row>
    <row r="142" spans="1:54" x14ac:dyDescent="0.3">
      <c r="A142" s="10"/>
      <c r="B142" s="11"/>
      <c r="C142" s="12" t="s">
        <v>217</v>
      </c>
      <c r="D142" s="20"/>
      <c r="E142" s="21"/>
      <c r="F142" s="22"/>
      <c r="G142" s="23"/>
      <c r="H142" s="21"/>
      <c r="I142" s="23"/>
      <c r="K142" s="2" t="s">
        <v>299</v>
      </c>
      <c r="L142" s="43"/>
    </row>
    <row r="143" spans="1:54" x14ac:dyDescent="0.3">
      <c r="A143" s="13" t="s">
        <v>218</v>
      </c>
      <c r="B143" s="14"/>
      <c r="C143" s="15">
        <f>Table1[[#Totals],[Jan_Royalty_8pct]]+Table1[[#Totals],[Jan_NAF_2pct]]+Table1[[#Totals],[Jan_Tech_Fee]]</f>
        <v>180059.53813660002</v>
      </c>
      <c r="D143" s="13">
        <v>6</v>
      </c>
      <c r="E143" s="14">
        <f>Table2[[#Headers],[2.4]]*Table2[[#This Row],[Franchise Sales ]]</f>
        <v>14.399999999999999</v>
      </c>
      <c r="F143" s="52">
        <f>Table2[[#Headers],[$59,900.00]]*Table2[[#This Row],[2.4]]+(Table2[[#This Row],[Franchise Sales ]]*30000)</f>
        <v>1042559.9999999999</v>
      </c>
      <c r="G143" s="24">
        <f>Table2[[#This Row],[$59,900.00]]+Table2[[#This Row],[Total]]</f>
        <v>1222619.5381365998</v>
      </c>
      <c r="H143" s="44">
        <f>(Table2[[#This Row],[2.4]]*60%)*(59900*0.5)</f>
        <v>258767.99999999997</v>
      </c>
      <c r="I143" s="24">
        <f>Table2[[#This Row],[Total Franchisor intake ]]-Table2[[#This Row],[Broker Fee]]</f>
        <v>963851.53813659982</v>
      </c>
      <c r="K143" s="2" t="s">
        <v>254</v>
      </c>
      <c r="L143" s="30"/>
    </row>
    <row r="144" spans="1:54" x14ac:dyDescent="0.3">
      <c r="A144" s="13" t="s">
        <v>219</v>
      </c>
      <c r="B144" s="14"/>
      <c r="C144" s="15">
        <f>Table1[[#Totals],[Feb_Royalty_8pct]]+Table1[[#Totals],[Feb_NAF_2pct]]+Table1[[#Totals],[Feb_Tech_Fee]]</f>
        <v>140882.92824469996</v>
      </c>
      <c r="D144" s="13">
        <v>6</v>
      </c>
      <c r="E144" s="14">
        <f>Table2[[#Headers],[2.4]]*Table2[[#This Row],[Franchise Sales ]]</f>
        <v>14.399999999999999</v>
      </c>
      <c r="F144" s="53">
        <f>Table2[[#Headers],[$59,900.00]]*Table2[[#This Row],[2.4]]+(Table2[[#This Row],[Franchise Sales ]]*30000)</f>
        <v>1042559.9999999999</v>
      </c>
      <c r="G144" s="24">
        <f>Table2[[#This Row],[$59,900.00]]+Table2[[#This Row],[Total]]</f>
        <v>1183442.9282446997</v>
      </c>
      <c r="H144" s="44">
        <f>(Table2[[#This Row],[2.4]]*60%)*(59900*0.5)</f>
        <v>258767.99999999997</v>
      </c>
      <c r="I144" s="24">
        <f>Table2[[#This Row],[Total Franchisor intake ]]-Table2[[#This Row],[Broker Fee]]</f>
        <v>924674.92824469972</v>
      </c>
      <c r="K144" s="2" t="s">
        <v>256</v>
      </c>
      <c r="L144" s="3"/>
    </row>
    <row r="145" spans="1:15" x14ac:dyDescent="0.3">
      <c r="A145" s="13" t="s">
        <v>220</v>
      </c>
      <c r="B145" s="14"/>
      <c r="C145" s="15">
        <f>Table1[[#Totals],[Mar_Royalty_8pct]]+Table1[[#Totals],[Mar_NAF_2pct]]+Table1[[#Totals],[Mar_Tech_Fee]]</f>
        <v>212462.96111470001</v>
      </c>
      <c r="D145" s="13">
        <v>6</v>
      </c>
      <c r="E145" s="14">
        <f>Table2[[#Headers],[2.4]]*Table2[[#This Row],[Franchise Sales ]]</f>
        <v>14.399999999999999</v>
      </c>
      <c r="F145" s="53">
        <f>Table2[[#Headers],[$59,900.00]]*Table2[[#This Row],[2.4]]+(Table2[[#This Row],[Franchise Sales ]]*30000)</f>
        <v>1042559.9999999999</v>
      </c>
      <c r="G145" s="24">
        <f>Table2[[#This Row],[$59,900.00]]+Table2[[#This Row],[Total]]</f>
        <v>1255022.9611147</v>
      </c>
      <c r="H145" s="44">
        <f>(Table2[[#This Row],[2.4]]*60%)*(59900*0.5)</f>
        <v>258767.99999999997</v>
      </c>
      <c r="I145" s="24">
        <f>Table2[[#This Row],[Total Franchisor intake ]]-Table2[[#This Row],[Broker Fee]]</f>
        <v>996254.96111469995</v>
      </c>
      <c r="K145" s="2" t="s">
        <v>257</v>
      </c>
      <c r="L145" s="7"/>
    </row>
    <row r="146" spans="1:15" x14ac:dyDescent="0.3">
      <c r="A146" s="13" t="s">
        <v>221</v>
      </c>
      <c r="B146" s="14"/>
      <c r="C146" s="15">
        <f>Table1[[#Totals],[Apr_Royalty_8pct]]+Table1[[#Totals],[Apr_NAF_2pct]]+Table1[[#Totals],[Apr_Tech_Fee]]</f>
        <v>302569.77396050002</v>
      </c>
      <c r="D146" s="13">
        <v>5</v>
      </c>
      <c r="E146" s="14">
        <f>Table2[[#Headers],[2.4]]*Table2[[#This Row],[Franchise Sales ]]</f>
        <v>12</v>
      </c>
      <c r="F146" s="53">
        <f>Table2[[#Headers],[$59,900.00]]*Table2[[#This Row],[2.4]]+(Table2[[#This Row],[Franchise Sales ]]*30000)</f>
        <v>868800</v>
      </c>
      <c r="G146" s="24">
        <f>Table2[[#This Row],[$59,900.00]]+Table2[[#This Row],[Total]]</f>
        <v>1171369.7739605</v>
      </c>
      <c r="H146" s="44">
        <f>(Table2[[#This Row],[2.4]]*60%)*(59900*0.5)</f>
        <v>215639.99999999997</v>
      </c>
      <c r="I146" s="24">
        <f>Table2[[#This Row],[Total Franchisor intake ]]-Table2[[#This Row],[Broker Fee]]</f>
        <v>955729.77396050002</v>
      </c>
    </row>
    <row r="147" spans="1:15" x14ac:dyDescent="0.3">
      <c r="A147" s="13" t="s">
        <v>222</v>
      </c>
      <c r="B147" s="14"/>
      <c r="C147" s="15">
        <f>Table1[[#Totals],[May_Royalty_8pct]]+Table1[[#Totals],[May_NAF_2pct]]+Table1[[#Totals],[May_Tech_Fee]]</f>
        <v>367641.04730820004</v>
      </c>
      <c r="D147" s="13">
        <v>2</v>
      </c>
      <c r="E147" s="14">
        <f>Table2[[#Headers],[2.4]]*Table2[[#This Row],[Franchise Sales ]]</f>
        <v>4.8</v>
      </c>
      <c r="F147" s="53">
        <f>Table2[[#Headers],[$59,900.00]]*Table2[[#This Row],[2.4]]+(Table2[[#This Row],[Franchise Sales ]]*30000)</f>
        <v>347520</v>
      </c>
      <c r="G147" s="24">
        <f>Table2[[#This Row],[$59,900.00]]+Table2[[#This Row],[Total]]</f>
        <v>715161.04730820004</v>
      </c>
      <c r="H147" s="44">
        <f>(Table2[[#This Row],[2.4]]*60%)*(59900*0.5)</f>
        <v>86256</v>
      </c>
      <c r="I147" s="24">
        <f>Table2[[#This Row],[Total Franchisor intake ]]-Table2[[#This Row],[Broker Fee]]</f>
        <v>628905.04730820004</v>
      </c>
    </row>
    <row r="148" spans="1:15" x14ac:dyDescent="0.3">
      <c r="A148" s="13" t="s">
        <v>223</v>
      </c>
      <c r="B148" s="14"/>
      <c r="C148" s="15">
        <f>Table1[[#Totals],[Jun_Royalty_8pct]]+Table1[[#Totals],[Jun_NAF_2pct]]+Table1[[#Totals],[Jun_Tech_Fee]]</f>
        <v>389697.74127473158</v>
      </c>
      <c r="D148" s="13">
        <v>2</v>
      </c>
      <c r="E148" s="14">
        <f>Table2[[#Headers],[2.4]]*Table2[[#This Row],[Franchise Sales ]]</f>
        <v>4.8</v>
      </c>
      <c r="F148" s="53">
        <f>Table2[[#Headers],[$59,900.00]]*Table2[[#This Row],[2.4]]+(Table2[[#This Row],[Franchise Sales ]]*30000)</f>
        <v>347520</v>
      </c>
      <c r="G148" s="24">
        <f>Table2[[#This Row],[$59,900.00]]+Table2[[#This Row],[Total]]</f>
        <v>737217.74127473158</v>
      </c>
      <c r="H148" s="44">
        <f>(Table2[[#This Row],[2.4]]*60%)*(59900*0.5)</f>
        <v>86256</v>
      </c>
      <c r="I148" s="24">
        <f>Table2[[#This Row],[Total Franchisor intake ]]-Table2[[#This Row],[Broker Fee]]</f>
        <v>650961.74127473158</v>
      </c>
    </row>
    <row r="149" spans="1:15" ht="15" thickBot="1" x14ac:dyDescent="0.35">
      <c r="A149" s="13" t="s">
        <v>224</v>
      </c>
      <c r="B149" s="14"/>
      <c r="C149" s="15">
        <f>Table1[[#Totals],[Jul_Royalty_8pct]]+Table1[[#Totals],[Jul_NAF_2pct]]+Table1[[#Totals],[Jul_Tech_Fee]]</f>
        <v>453427.09116250987</v>
      </c>
      <c r="D149" s="13">
        <v>2</v>
      </c>
      <c r="E149" s="14">
        <f>Table2[[#Headers],[2.4]]*Table2[[#This Row],[Franchise Sales ]]</f>
        <v>4.8</v>
      </c>
      <c r="F149" s="53">
        <f>Table2[[#Headers],[$59,900.00]]*Table2[[#This Row],[2.4]]+(Table2[[#This Row],[Franchise Sales ]]*30000)</f>
        <v>347520</v>
      </c>
      <c r="G149" s="24">
        <f>Table2[[#This Row],[$59,900.00]]+Table2[[#This Row],[Total]]</f>
        <v>800947.09116250987</v>
      </c>
      <c r="H149" s="44">
        <f>(Table2[[#This Row],[2.4]]*60%)*(59900*0.5)</f>
        <v>86256</v>
      </c>
      <c r="I149" s="24">
        <f>Table2[[#This Row],[Total Franchisor intake ]]-Table2[[#This Row],[Broker Fee]]</f>
        <v>714691.09116250987</v>
      </c>
      <c r="K149" t="s">
        <v>294</v>
      </c>
      <c r="L149" t="s">
        <v>295</v>
      </c>
      <c r="M149" t="s">
        <v>300</v>
      </c>
      <c r="N149" t="s">
        <v>296</v>
      </c>
      <c r="O149" t="s">
        <v>234</v>
      </c>
    </row>
    <row r="150" spans="1:15" x14ac:dyDescent="0.3">
      <c r="A150" s="13" t="s">
        <v>225</v>
      </c>
      <c r="B150" s="14"/>
      <c r="C150" s="15">
        <f>Table1[[#Totals],[Aug_Royalty_8pct]]+Table1[[#Totals],[Aug_NAF_2pct]]+Table1[[#Totals],[Aug_Tech_Fee]]</f>
        <v>415695.21397276968</v>
      </c>
      <c r="D150" s="13">
        <v>4</v>
      </c>
      <c r="E150" s="14">
        <f>Table2[[#Headers],[2.4]]*Table2[[#This Row],[Franchise Sales ]]</f>
        <v>9.6</v>
      </c>
      <c r="F150" s="53">
        <f>Table2[[#Headers],[$59,900.00]]*Table2[[#This Row],[2.4]]+(Table2[[#This Row],[Franchise Sales ]]*30000)</f>
        <v>695040</v>
      </c>
      <c r="G150" s="24">
        <f>Table2[[#This Row],[$59,900.00]]+Table2[[#This Row],[Total]]</f>
        <v>1110735.2139727697</v>
      </c>
      <c r="H150" s="44">
        <f>(Table2[[#This Row],[2.4]]*60%)*(59900*0.5)</f>
        <v>172512</v>
      </c>
      <c r="I150" s="24">
        <f>Table2[[#This Row],[Total Franchisor intake ]]-Table2[[#This Row],[Broker Fee]]</f>
        <v>938223.21397276968</v>
      </c>
      <c r="K150" s="8"/>
      <c r="L150" s="8"/>
      <c r="M150" s="8"/>
    </row>
    <row r="151" spans="1:15" x14ac:dyDescent="0.3">
      <c r="A151" s="13" t="s">
        <v>226</v>
      </c>
      <c r="B151" s="14"/>
      <c r="C151" s="15">
        <f>Table1[[#Totals],[Sep_Royalty_8pct]]+Table1[[#Totals],[Sep_NAF_2pct]]+Table1[[#Totals],[Sep_Tech_Fee]]</f>
        <v>482380.43325537152</v>
      </c>
      <c r="D151" s="13">
        <v>5</v>
      </c>
      <c r="E151" s="14">
        <f>Table2[[#Headers],[2.4]]*Table2[[#This Row],[Franchise Sales ]]</f>
        <v>12</v>
      </c>
      <c r="F151" s="53">
        <f>Table2[[#Headers],[$59,900.00]]*Table2[[#This Row],[2.4]]+(Table2[[#This Row],[Franchise Sales ]]*30000)</f>
        <v>868800</v>
      </c>
      <c r="G151" s="24">
        <f>Table2[[#This Row],[$59,900.00]]+Table2[[#This Row],[Total]]</f>
        <v>1351180.4332553716</v>
      </c>
      <c r="H151" s="44">
        <f>(Table2[[#This Row],[2.4]]*60%)*(59900*0.5)</f>
        <v>215639.99999999997</v>
      </c>
      <c r="I151" s="24">
        <f>Table2[[#This Row],[Total Franchisor intake ]]-Table2[[#This Row],[Broker Fee]]</f>
        <v>1135540.4332553716</v>
      </c>
      <c r="M151" s="2"/>
    </row>
    <row r="152" spans="1:15" x14ac:dyDescent="0.3">
      <c r="A152" s="13" t="s">
        <v>227</v>
      </c>
      <c r="B152" s="14"/>
      <c r="C152" s="15">
        <f>Table1[[#Totals],[Oct_Royalty_8pct]]+Table1[[#Totals],[Oct_NAF_2pct]]+Table1[[#Totals],[Oct_Tech_Fee]]</f>
        <v>431606.81923149852</v>
      </c>
      <c r="D152" s="13">
        <v>6</v>
      </c>
      <c r="E152" s="14">
        <f>Table2[[#Headers],[2.4]]*Table2[[#This Row],[Franchise Sales ]]</f>
        <v>14.399999999999999</v>
      </c>
      <c r="F152" s="53">
        <f>Table2[[#Headers],[$59,900.00]]*Table2[[#This Row],[2.4]]+(Table2[[#This Row],[Franchise Sales ]]*30000)</f>
        <v>1042559.9999999999</v>
      </c>
      <c r="G152" s="24">
        <f>Table2[[#This Row],[$59,900.00]]+Table2[[#This Row],[Total]]</f>
        <v>1474166.8192314985</v>
      </c>
      <c r="H152" s="44">
        <f>(Table2[[#This Row],[2.4]]*60%)*(59900*0.5)</f>
        <v>258767.99999999997</v>
      </c>
      <c r="I152" s="24">
        <f>Table2[[#This Row],[Total Franchisor intake ]]-Table2[[#This Row],[Broker Fee]]</f>
        <v>1215398.8192314985</v>
      </c>
      <c r="K152" t="s">
        <v>290</v>
      </c>
      <c r="L152" s="37"/>
    </row>
    <row r="153" spans="1:15" x14ac:dyDescent="0.3">
      <c r="A153" s="13" t="s">
        <v>228</v>
      </c>
      <c r="B153" s="14"/>
      <c r="C153" s="15">
        <f>Table1[[#Totals],[Nov_Royalty_8pct]]+Table1[[#Totals],[Nov_NAF_2pct]]+Table1[[#Totals],[Nov_Tech_Fee]]</f>
        <v>310377.29215278407</v>
      </c>
      <c r="D153" s="13">
        <v>4</v>
      </c>
      <c r="E153" s="14">
        <f>Table2[[#Headers],[2.4]]*Table2[[#This Row],[Franchise Sales ]]</f>
        <v>9.6</v>
      </c>
      <c r="F153" s="53">
        <f>Table2[[#Headers],[$59,900.00]]*Table2[[#This Row],[2.4]]+(Table2[[#This Row],[Franchise Sales ]]*30000)</f>
        <v>695040</v>
      </c>
      <c r="G153" s="24">
        <f>Table2[[#This Row],[$59,900.00]]+Table2[[#This Row],[Total]]</f>
        <v>1005417.2921527841</v>
      </c>
      <c r="H153" s="44">
        <f>(Table2[[#This Row],[2.4]]*60%)*(59900*0.5)</f>
        <v>172512</v>
      </c>
      <c r="I153" s="24">
        <f>Table2[[#This Row],[Total Franchisor intake ]]-Table2[[#This Row],[Broker Fee]]</f>
        <v>832905.29215278407</v>
      </c>
      <c r="K153" t="s">
        <v>291</v>
      </c>
      <c r="L153" s="37">
        <v>7019391.6499999985</v>
      </c>
      <c r="M153" s="39" t="s">
        <v>289</v>
      </c>
      <c r="N153" s="36">
        <f>Table5[[#This Row],[YTD Payment Total]]/57</f>
        <v>123147.22192982453</v>
      </c>
    </row>
    <row r="154" spans="1:15" x14ac:dyDescent="0.3">
      <c r="A154" s="13" t="s">
        <v>229</v>
      </c>
      <c r="B154" s="14"/>
      <c r="C154" s="15">
        <f>Table1[[#Totals],[Dec_Royalty_8pct]]+Table1[[#Totals],[Dec_NAF_2pct]]+Table1[[#Totals],[Dec_Tech_Fee]]</f>
        <v>253238.97461845053</v>
      </c>
      <c r="D154" s="13">
        <v>4</v>
      </c>
      <c r="E154" s="14">
        <f>Table2[[#Headers],[2.4]]*Table2[[#This Row],[Franchise Sales ]]</f>
        <v>9.6</v>
      </c>
      <c r="F154" s="53">
        <f>Table2[[#Headers],[$59,900.00]]*Table2[[#This Row],[2.4]]+(Table2[[#This Row],[Franchise Sales ]]*30000)</f>
        <v>695040</v>
      </c>
      <c r="G154" s="24">
        <f>Table2[[#This Row],[$59,900.00]]+Table2[[#This Row],[Total]]</f>
        <v>948278.97461845051</v>
      </c>
      <c r="H154" s="44">
        <f>(Table2[[#This Row],[2.4]]*60%)*(59900*0.5)</f>
        <v>172512</v>
      </c>
      <c r="I154" s="24">
        <f>Table2[[#This Row],[Total Franchisor intake ]]-Table2[[#This Row],[Broker Fee]]</f>
        <v>775766.97461845051</v>
      </c>
      <c r="K154" t="s">
        <v>292</v>
      </c>
      <c r="L154" s="38">
        <v>16096354.389999995</v>
      </c>
      <c r="M154" s="40">
        <v>2.29</v>
      </c>
      <c r="N154" s="36">
        <f>Table5[[#This Row],[YTD Payment Total]]/82</f>
        <v>196297.00475609751</v>
      </c>
    </row>
    <row r="155" spans="1:15" ht="15" thickBot="1" x14ac:dyDescent="0.35">
      <c r="A155" s="16" t="s">
        <v>230</v>
      </c>
      <c r="B155" s="17"/>
      <c r="C155" s="18">
        <f>SUM(C143:C154)</f>
        <v>3940039.8144328156</v>
      </c>
      <c r="D155" s="16">
        <f>SUBTOTAL(109,D141:D154)</f>
        <v>52</v>
      </c>
      <c r="E155" s="25">
        <f>SUBTOTAL(109,E141:E154)</f>
        <v>124.79999999999998</v>
      </c>
      <c r="F155" s="26">
        <f>SUBTOTAL(109,F141:F154)</f>
        <v>9035520</v>
      </c>
      <c r="G155" s="27">
        <f>SUBTOTAL(109,G141:G154)</f>
        <v>12975559.814432815</v>
      </c>
      <c r="H155" s="47">
        <f>SUM(H143:H154)</f>
        <v>2242656</v>
      </c>
      <c r="I155" s="27">
        <f>Table2[[#This Row],[Total Franchisor intake ]]-Table2[[#This Row],[Broker Fee]]</f>
        <v>10732903.814432815</v>
      </c>
      <c r="K155" t="s">
        <v>293</v>
      </c>
      <c r="L155" s="36">
        <f>Table1[[#Totals],[Annual_Projected_Pay]]</f>
        <v>31896046.144328147</v>
      </c>
      <c r="M155" s="40">
        <v>2.1</v>
      </c>
      <c r="N155" s="36">
        <f>Table5[[#This Row],[YTD Payment Total]]/127</f>
        <v>251149.9696403791</v>
      </c>
    </row>
    <row r="158" spans="1:15" x14ac:dyDescent="0.3">
      <c r="J158" s="48"/>
      <c r="K158" s="48"/>
      <c r="M158" s="48"/>
    </row>
    <row r="159" spans="1:15" x14ac:dyDescent="0.3">
      <c r="J159" s="48"/>
      <c r="K159" s="49"/>
      <c r="L159" s="49"/>
      <c r="M159" s="48"/>
    </row>
    <row r="160" spans="1:15" x14ac:dyDescent="0.3">
      <c r="J160" s="48"/>
      <c r="K160" s="50"/>
      <c r="L160" s="50"/>
      <c r="M160" s="48"/>
    </row>
    <row r="161" spans="10:13" x14ac:dyDescent="0.3">
      <c r="J161" s="48"/>
      <c r="K161" s="50"/>
      <c r="L161" s="50"/>
      <c r="M161" s="48"/>
    </row>
    <row r="162" spans="10:13" x14ac:dyDescent="0.3">
      <c r="J162" s="48"/>
      <c r="K162" s="50"/>
      <c r="L162" s="50"/>
      <c r="M162" s="48"/>
    </row>
    <row r="163" spans="10:13" x14ac:dyDescent="0.3">
      <c r="J163" s="48"/>
      <c r="K163" s="50"/>
      <c r="L163" s="50"/>
      <c r="M163" s="48"/>
    </row>
    <row r="164" spans="10:13" x14ac:dyDescent="0.3">
      <c r="J164" s="48"/>
      <c r="K164" s="50"/>
      <c r="L164" s="50"/>
      <c r="M164" s="48"/>
    </row>
    <row r="165" spans="10:13" x14ac:dyDescent="0.3">
      <c r="J165" s="48"/>
      <c r="K165" s="50"/>
      <c r="L165" s="50"/>
      <c r="M165" s="48"/>
    </row>
    <row r="166" spans="10:13" x14ac:dyDescent="0.3">
      <c r="J166" s="48"/>
      <c r="K166" s="50"/>
      <c r="L166" s="50"/>
      <c r="M166" s="48"/>
    </row>
    <row r="167" spans="10:13" x14ac:dyDescent="0.3">
      <c r="J167" s="48"/>
      <c r="K167" s="50"/>
      <c r="L167" s="50"/>
      <c r="M167" s="48"/>
    </row>
  </sheetData>
  <phoneticPr fontId="6" type="noConversion"/>
  <pageMargins left="0.7" right="0.7" top="0.75" bottom="0.75" header="0.3" footer="0.3"/>
  <drawing r:id="rId1"/>
  <legacy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F8B1-4296-42CD-A399-C04E735E6556}">
  <dimension ref="A1:AC142"/>
  <sheetViews>
    <sheetView zoomScale="79" zoomScaleNormal="79" workbookViewId="0">
      <pane xSplit="1" topLeftCell="B1" activePane="topRight" state="frozen"/>
      <selection pane="topRight" activeCell="AC129" sqref="AC129"/>
    </sheetView>
  </sheetViews>
  <sheetFormatPr defaultColWidth="12.88671875" defaultRowHeight="14.4" x14ac:dyDescent="0.3"/>
  <cols>
    <col min="1" max="1" width="35.33203125" customWidth="1"/>
    <col min="2" max="2" width="15" customWidth="1"/>
    <col min="3" max="3" width="15.33203125" customWidth="1"/>
    <col min="4" max="4" width="15.5546875" customWidth="1"/>
    <col min="5" max="5" width="17.109375" customWidth="1"/>
    <col min="6" max="6" width="15.77734375" customWidth="1"/>
    <col min="7" max="7" width="15.109375" customWidth="1"/>
    <col min="8" max="8" width="14.6640625" customWidth="1"/>
    <col min="9" max="9" width="15.44140625" customWidth="1"/>
    <col min="10" max="10" width="15.33203125" customWidth="1"/>
    <col min="11" max="11" width="15.109375" customWidth="1"/>
    <col min="12" max="12" width="15.5546875" customWidth="1"/>
    <col min="13" max="13" width="15.33203125" customWidth="1"/>
    <col min="14" max="14" width="17.33203125" customWidth="1"/>
    <col min="15" max="15" width="15" customWidth="1"/>
    <col min="28" max="28" width="20.21875" customWidth="1"/>
    <col min="29" max="29" width="21.33203125" customWidth="1"/>
  </cols>
  <sheetData>
    <row r="1" spans="1:29" x14ac:dyDescent="0.3">
      <c r="A1" t="s">
        <v>0</v>
      </c>
      <c r="B1" s="4" t="s">
        <v>1</v>
      </c>
      <c r="C1" s="4" t="s">
        <v>2</v>
      </c>
      <c r="D1" s="4" t="s">
        <v>6</v>
      </c>
      <c r="E1" s="4" t="s">
        <v>10</v>
      </c>
      <c r="F1" s="4" t="s">
        <v>14</v>
      </c>
      <c r="G1" s="4" t="s">
        <v>18</v>
      </c>
      <c r="H1" s="4" t="s">
        <v>22</v>
      </c>
      <c r="I1" s="4" t="s">
        <v>26</v>
      </c>
      <c r="J1" s="4" t="s">
        <v>30</v>
      </c>
      <c r="K1" s="4" t="s">
        <v>34</v>
      </c>
      <c r="L1" s="4" t="s">
        <v>38</v>
      </c>
      <c r="M1" s="4" t="s">
        <v>42</v>
      </c>
      <c r="N1" s="4" t="s">
        <v>46</v>
      </c>
      <c r="O1" t="s">
        <v>238</v>
      </c>
      <c r="Q1" t="s">
        <v>239</v>
      </c>
      <c r="R1" t="s">
        <v>240</v>
      </c>
      <c r="S1" t="s">
        <v>241</v>
      </c>
      <c r="T1" t="s">
        <v>242</v>
      </c>
      <c r="U1" t="s">
        <v>243</v>
      </c>
      <c r="V1" t="s">
        <v>244</v>
      </c>
      <c r="W1" t="s">
        <v>245</v>
      </c>
      <c r="X1" t="s">
        <v>246</v>
      </c>
      <c r="Y1" t="s">
        <v>247</v>
      </c>
      <c r="Z1" t="s">
        <v>248</v>
      </c>
      <c r="AA1" t="s">
        <v>249</v>
      </c>
      <c r="AB1" t="s">
        <v>250</v>
      </c>
      <c r="AC1" t="s">
        <v>251</v>
      </c>
    </row>
    <row r="2" spans="1:29" x14ac:dyDescent="0.3">
      <c r="A2" s="29" t="s">
        <v>54</v>
      </c>
      <c r="B2" s="32" t="str" cm="1">
        <f t="array" ref="B2">IFERROR(
    _xlfn.XLOOKUP(
        $A2,
        Table1[Location],
        INDEX(Table1[], , MATCH(B$1, Table1[#Headers], 0))
    ),
"")</f>
        <v>AL</v>
      </c>
      <c r="C2" s="28" cm="1">
        <f t="array" ref="C2">IFERROR(
    _xlfn.XLOOKUP(
        $A2,
        Table1[Location],
        INDEX(Table1[], , MATCH(C$1, Table1[#Headers], 0))
    ),
"")</f>
        <v>5184.5130719999997</v>
      </c>
      <c r="D2" s="28" cm="1">
        <f t="array" ref="D2">IFERROR(
    _xlfn.XLOOKUP(
        $A2,
        Table1[Location],
        INDEX(Table1[], , MATCH(D$1, Table1[#Headers], 0))
    ),
"")</f>
        <v>13127.718018</v>
      </c>
      <c r="E2" s="28" cm="1">
        <f t="array" ref="E2">IFERROR(
    _xlfn.XLOOKUP(
        $A2,
        Table1[Location],
        INDEX(Table1[], , MATCH(E$1, Table1[#Headers], 0))
    ),
"")</f>
        <v>41349</v>
      </c>
      <c r="F2" s="28" cm="1">
        <f t="array" ref="F2">IFERROR(
    _xlfn.XLOOKUP(
        $A2,
        Table1[Location],
        INDEX(Table1[], , MATCH(F$1, Table1[#Headers], 0))
    ),
"")</f>
        <v>38635</v>
      </c>
      <c r="G2" s="28" cm="1">
        <f t="array" ref="G2">IFERROR(
    _xlfn.XLOOKUP(
        $A2,
        Table1[Location],
        INDEX(Table1[], , MATCH(G$1, Table1[#Headers], 0))
    ),
"")</f>
        <v>64547.851393999998</v>
      </c>
      <c r="H2" s="28" cm="1">
        <f t="array" ref="H2">IFERROR(
    _xlfn.XLOOKUP(
        $A2,
        Table1[Location],
        INDEX(Table1[], , MATCH(H$1, Table1[#Headers], 0))
    ),
"")</f>
        <v>41349</v>
      </c>
      <c r="I2" s="28" cm="1">
        <f t="array" ref="I2">IFERROR(
    _xlfn.XLOOKUP(
        $A2,
        Table1[Location],
        INDEX(Table1[], , MATCH(I$1, Table1[#Headers], 0))
    ),
"")</f>
        <v>21096.403095999998</v>
      </c>
      <c r="J2" s="28" cm="1">
        <f t="array" ref="J2">IFERROR(
    _xlfn.XLOOKUP(
        $A2,
        Table1[Location],
        INDEX(Table1[], , MATCH(J$1, Table1[#Headers], 0))
    ),
"")</f>
        <v>42359</v>
      </c>
      <c r="K2" s="28" cm="1">
        <f t="array" ref="K2">IFERROR(
    _xlfn.XLOOKUP(
        $A2,
        Table1[Location],
        INDEX(Table1[], , MATCH(K$1, Table1[#Headers], 0))
    ),
"")</f>
        <v>25239</v>
      </c>
      <c r="L2" s="28" cm="1">
        <f t="array" ref="L2">IFERROR(
    _xlfn.XLOOKUP(
        $A2,
        Table1[Location],
        INDEX(Table1[], , MATCH(L$1, Table1[#Headers], 0))
    ),
"")</f>
        <v>68422</v>
      </c>
      <c r="M2" s="28" cm="1">
        <f t="array" ref="M2">IFERROR(
    _xlfn.XLOOKUP(
        $A2,
        Table1[Location],
        INDEX(Table1[], , MATCH(M$1, Table1[#Headers], 0))
    ),
"")</f>
        <v>13915.450279000001</v>
      </c>
      <c r="N2" s="28" cm="1">
        <f t="array" ref="N2">IFERROR(
    _xlfn.XLOOKUP(
        $A2,
        Table1[Location],
        INDEX(Table1[], , MATCH(N$1, Table1[#Headers], 0))
    ),
"")</f>
        <v>26486.426404000002</v>
      </c>
      <c r="O2" s="28">
        <f>SUM(C2:N2)</f>
        <v>401711.36226299999</v>
      </c>
      <c r="Q2" s="28">
        <f t="shared" ref="Q2:AB2" si="0">C2*0.01</f>
        <v>51.84513072</v>
      </c>
      <c r="R2" s="28">
        <f t="shared" si="0"/>
        <v>131.27718017999999</v>
      </c>
      <c r="S2" s="28">
        <f t="shared" si="0"/>
        <v>413.49</v>
      </c>
      <c r="T2" s="28">
        <f t="shared" si="0"/>
        <v>386.35</v>
      </c>
      <c r="U2" s="28">
        <f t="shared" si="0"/>
        <v>645.47851393999997</v>
      </c>
      <c r="V2" s="28">
        <f t="shared" si="0"/>
        <v>413.49</v>
      </c>
      <c r="W2" s="28">
        <f t="shared" si="0"/>
        <v>210.96403095999997</v>
      </c>
      <c r="X2" s="28">
        <f t="shared" si="0"/>
        <v>423.59000000000003</v>
      </c>
      <c r="Y2" s="28">
        <f t="shared" si="0"/>
        <v>252.39000000000001</v>
      </c>
      <c r="Z2" s="28">
        <f t="shared" si="0"/>
        <v>684.22</v>
      </c>
      <c r="AA2" s="28">
        <f t="shared" si="0"/>
        <v>139.15450279000001</v>
      </c>
      <c r="AB2" s="28">
        <f t="shared" si="0"/>
        <v>264.86426404000002</v>
      </c>
      <c r="AC2" s="28">
        <f>SUM(Q2:AB2)</f>
        <v>4017.11362263</v>
      </c>
    </row>
    <row r="3" spans="1:29" x14ac:dyDescent="0.3">
      <c r="A3" s="29" t="s">
        <v>56</v>
      </c>
      <c r="B3" s="32" t="str" cm="1">
        <f t="array" ref="B3">IFERROR(
    _xlfn.XLOOKUP(
        $A3,
        Table1[Location],
        INDEX(Table1[], , MATCH(B$1, Table1[#Headers], 0))
    ),
"")</f>
        <v>AR</v>
      </c>
      <c r="C3" s="28" cm="1">
        <f t="array" ref="C3">IFERROR(
    _xlfn.XLOOKUP(
        $A3,
        Table1[Location],
        INDEX(Table1[], , MATCH(C$1, Table1[#Headers], 0))
    ),
"")</f>
        <v>0</v>
      </c>
      <c r="D3" s="28" cm="1">
        <f t="array" ref="D3">IFERROR(
    _xlfn.XLOOKUP(
        $A3,
        Table1[Location],
        INDEX(Table1[], , MATCH(D$1, Table1[#Headers], 0))
    ),
"")</f>
        <v>0</v>
      </c>
      <c r="E3" s="28" cm="1">
        <f t="array" ref="E3">IFERROR(
    _xlfn.XLOOKUP(
        $A3,
        Table1[Location],
        INDEX(Table1[], , MATCH(E$1, Table1[#Headers], 0))
    ),
"")</f>
        <v>9115</v>
      </c>
      <c r="F3" s="28" cm="1">
        <f t="array" ref="F3">IFERROR(
    _xlfn.XLOOKUP(
        $A3,
        Table1[Location],
        INDEX(Table1[], , MATCH(F$1, Table1[#Headers], 0))
    ),
"")</f>
        <v>9115</v>
      </c>
      <c r="G3" s="28" cm="1">
        <f t="array" ref="G3">IFERROR(
    _xlfn.XLOOKUP(
        $A3,
        Table1[Location],
        INDEX(Table1[], , MATCH(G$1, Table1[#Headers], 0))
    ),
"")</f>
        <v>17570</v>
      </c>
      <c r="H3" s="28" cm="1">
        <f t="array" ref="H3">IFERROR(
    _xlfn.XLOOKUP(
        $A3,
        Table1[Location],
        INDEX(Table1[], , MATCH(H$1, Table1[#Headers], 0))
    ),
"")</f>
        <v>12335.340206999999</v>
      </c>
      <c r="I3" s="28" cm="1">
        <f t="array" ref="I3">IFERROR(
    _xlfn.XLOOKUP(
        $A3,
        Table1[Location],
        INDEX(Table1[], , MATCH(I$1, Table1[#Headers], 0))
    ),
"")</f>
        <v>20150.561285</v>
      </c>
      <c r="J3" s="28" cm="1">
        <f t="array" ref="J3">IFERROR(
    _xlfn.XLOOKUP(
        $A3,
        Table1[Location],
        INDEX(Table1[], , MATCH(J$1, Table1[#Headers], 0))
    ),
"")</f>
        <v>4671.8938390000003</v>
      </c>
      <c r="K3" s="28" cm="1">
        <f t="array" ref="K3">IFERROR(
    _xlfn.XLOOKUP(
        $A3,
        Table1[Location],
        INDEX(Table1[], , MATCH(K$1, Table1[#Headers], 0))
    ),
"")</f>
        <v>12683</v>
      </c>
      <c r="L3" s="28" cm="1">
        <f t="array" ref="L3">IFERROR(
    _xlfn.XLOOKUP(
        $A3,
        Table1[Location],
        INDEX(Table1[], , MATCH(L$1, Table1[#Headers], 0))
    ),
"")</f>
        <v>10435.009027</v>
      </c>
      <c r="M3" s="28" cm="1">
        <f t="array" ref="M3">IFERROR(
    _xlfn.XLOOKUP(
        $A3,
        Table1[Location],
        INDEX(Table1[], , MATCH(M$1, Table1[#Headers], 0))
    ),
"")</f>
        <v>1657.1135650000001</v>
      </c>
      <c r="N3" s="28" cm="1">
        <f t="array" ref="N3">IFERROR(
    _xlfn.XLOOKUP(
        $A3,
        Table1[Location],
        INDEX(Table1[], , MATCH(N$1, Table1[#Headers], 0))
    ),
"")</f>
        <v>1553.5439670000001</v>
      </c>
      <c r="O3" s="28">
        <f t="shared" ref="O3:O66" si="1">SUM(C3:N3)</f>
        <v>99286.461890000006</v>
      </c>
      <c r="Q3" s="28">
        <f t="shared" ref="Q3:Q66" si="2">C3*0.01</f>
        <v>0</v>
      </c>
      <c r="R3" s="28">
        <f t="shared" ref="R3:R66" si="3">D3*0.01</f>
        <v>0</v>
      </c>
      <c r="S3" s="28">
        <f t="shared" ref="S3:S66" si="4">E3*0.01</f>
        <v>91.15</v>
      </c>
      <c r="T3" s="28">
        <f t="shared" ref="T3:T66" si="5">F3*0.01</f>
        <v>91.15</v>
      </c>
      <c r="U3" s="28">
        <f t="shared" ref="U3:U66" si="6">G3*0.01</f>
        <v>175.70000000000002</v>
      </c>
      <c r="V3" s="28">
        <f t="shared" ref="V3:V66" si="7">H3*0.01</f>
        <v>123.35340207</v>
      </c>
      <c r="W3" s="28">
        <f t="shared" ref="W3:W66" si="8">I3*0.01</f>
        <v>201.50561285000001</v>
      </c>
      <c r="X3" s="28">
        <f t="shared" ref="X3:X66" si="9">J3*0.01</f>
        <v>46.718938390000005</v>
      </c>
      <c r="Y3" s="28">
        <f t="shared" ref="Y3:Y66" si="10">K3*0.01</f>
        <v>126.83</v>
      </c>
      <c r="Z3" s="28">
        <f t="shared" ref="Z3:Z66" si="11">L3*0.01</f>
        <v>104.35009027000001</v>
      </c>
      <c r="AA3" s="28">
        <f t="shared" ref="AA3:AA66" si="12">M3*0.01</f>
        <v>16.571135650000002</v>
      </c>
      <c r="AB3" s="28">
        <f t="shared" ref="AB3:AB66" si="13">N3*0.01</f>
        <v>15.535439670000001</v>
      </c>
      <c r="AC3" s="28">
        <f t="shared" ref="AC3:AC66" si="14">SUM(Q3:AB3)</f>
        <v>992.8646189000001</v>
      </c>
    </row>
    <row r="4" spans="1:29" x14ac:dyDescent="0.3">
      <c r="A4" s="29" t="s">
        <v>58</v>
      </c>
      <c r="B4" s="32" t="str" cm="1">
        <f t="array" ref="B4">IFERROR(
    _xlfn.XLOOKUP(
        $A4,
        Table1[Location],
        INDEX(Table1[], , MATCH(B$1, Table1[#Headers], 0))
    ),
"")</f>
        <v>AR</v>
      </c>
      <c r="C4" s="28" cm="1">
        <f t="array" ref="C4">IFERROR(
    _xlfn.XLOOKUP(
        $A4,
        Table1[Location],
        INDEX(Table1[], , MATCH(C$1, Table1[#Headers], 0))
    ),
"")</f>
        <v>2250</v>
      </c>
      <c r="D4" s="28" cm="1">
        <f t="array" ref="D4">IFERROR(
    _xlfn.XLOOKUP(
        $A4,
        Table1[Location],
        INDEX(Table1[], , MATCH(D$1, Table1[#Headers], 0))
    ),
"")</f>
        <v>7521</v>
      </c>
      <c r="E4" s="28" cm="1">
        <f t="array" ref="E4">IFERROR(
    _xlfn.XLOOKUP(
        $A4,
        Table1[Location],
        INDEX(Table1[], , MATCH(E$1, Table1[#Headers], 0))
    ),
"")</f>
        <v>12347</v>
      </c>
      <c r="F4" s="28" cm="1">
        <f t="array" ref="F4">IFERROR(
    _xlfn.XLOOKUP(
        $A4,
        Table1[Location],
        INDEX(Table1[], , MATCH(F$1, Table1[#Headers], 0))
    ),
"")</f>
        <v>22496</v>
      </c>
      <c r="G4" s="28" cm="1">
        <f t="array" ref="G4">IFERROR(
    _xlfn.XLOOKUP(
        $A4,
        Table1[Location],
        INDEX(Table1[], , MATCH(G$1, Table1[#Headers], 0))
    ),
"")</f>
        <v>15241</v>
      </c>
      <c r="H4" s="28" cm="1">
        <f t="array" ref="H4">IFERROR(
    _xlfn.XLOOKUP(
        $A4,
        Table1[Location],
        INDEX(Table1[], , MATCH(H$1, Table1[#Headers], 0))
    ),
"")</f>
        <v>12361</v>
      </c>
      <c r="I4" s="28" cm="1">
        <f t="array" ref="I4">IFERROR(
    _xlfn.XLOOKUP(
        $A4,
        Table1[Location],
        INDEX(Table1[], , MATCH(I$1, Table1[#Headers], 0))
    ),
"")</f>
        <v>24321</v>
      </c>
      <c r="J4" s="28" cm="1">
        <f t="array" ref="J4">IFERROR(
    _xlfn.XLOOKUP(
        $A4,
        Table1[Location],
        INDEX(Table1[], , MATCH(J$1, Table1[#Headers], 0))
    ),
"")</f>
        <v>16520</v>
      </c>
      <c r="K4" s="28" cm="1">
        <f t="array" ref="K4">IFERROR(
    _xlfn.XLOOKUP(
        $A4,
        Table1[Location],
        INDEX(Table1[], , MATCH(K$1, Table1[#Headers], 0))
    ),
"")</f>
        <v>8973.953716</v>
      </c>
      <c r="L4" s="28" cm="1">
        <f t="array" ref="L4">IFERROR(
    _xlfn.XLOOKUP(
        $A4,
        Table1[Location],
        INDEX(Table1[], , MATCH(L$1, Table1[#Headers], 0))
    ),
"")</f>
        <v>22061</v>
      </c>
      <c r="M4" s="28" cm="1">
        <f t="array" ref="M4">IFERROR(
    _xlfn.XLOOKUP(
        $A4,
        Table1[Location],
        INDEX(Table1[], , MATCH(M$1, Table1[#Headers], 0))
    ),
"")</f>
        <v>9421</v>
      </c>
      <c r="N4" s="28" cm="1">
        <f t="array" ref="N4">IFERROR(
    _xlfn.XLOOKUP(
        $A4,
        Table1[Location],
        INDEX(Table1[], , MATCH(N$1, Table1[#Headers], 0))
    ),
"")</f>
        <v>2094.4588159999998</v>
      </c>
      <c r="O4" s="28">
        <f t="shared" si="1"/>
        <v>155607.41253200002</v>
      </c>
      <c r="Q4" s="28">
        <f t="shared" si="2"/>
        <v>22.5</v>
      </c>
      <c r="R4" s="28">
        <f t="shared" si="3"/>
        <v>75.210000000000008</v>
      </c>
      <c r="S4" s="28">
        <f t="shared" si="4"/>
        <v>123.47</v>
      </c>
      <c r="T4" s="28">
        <f t="shared" si="5"/>
        <v>224.96</v>
      </c>
      <c r="U4" s="28">
        <f t="shared" si="6"/>
        <v>152.41</v>
      </c>
      <c r="V4" s="28">
        <f t="shared" si="7"/>
        <v>123.61</v>
      </c>
      <c r="W4" s="28">
        <f t="shared" si="8"/>
        <v>243.21</v>
      </c>
      <c r="X4" s="28">
        <f t="shared" si="9"/>
        <v>165.20000000000002</v>
      </c>
      <c r="Y4" s="28">
        <f t="shared" si="10"/>
        <v>89.739537159999998</v>
      </c>
      <c r="Z4" s="28">
        <f t="shared" si="11"/>
        <v>220.61</v>
      </c>
      <c r="AA4" s="28">
        <f t="shared" si="12"/>
        <v>94.210000000000008</v>
      </c>
      <c r="AB4" s="28">
        <f t="shared" si="13"/>
        <v>20.944588159999999</v>
      </c>
      <c r="AC4" s="28">
        <f t="shared" si="14"/>
        <v>1556.0741253199999</v>
      </c>
    </row>
    <row r="5" spans="1:29" x14ac:dyDescent="0.3">
      <c r="A5" s="29" t="s">
        <v>59</v>
      </c>
      <c r="B5" s="32" t="str" cm="1">
        <f t="array" ref="B5">IFERROR(
    _xlfn.XLOOKUP(
        $A5,
        Table1[Location],
        INDEX(Table1[], , MATCH(B$1, Table1[#Headers], 0))
    ),
"")</f>
        <v>AZ</v>
      </c>
      <c r="C5" s="28" cm="1">
        <f t="array" ref="C5">IFERROR(
    _xlfn.XLOOKUP(
        $A5,
        Table1[Location],
        INDEX(Table1[], , MATCH(C$1, Table1[#Headers], 0))
    ),
"")</f>
        <v>0</v>
      </c>
      <c r="D5" s="28" cm="1">
        <f t="array" ref="D5">IFERROR(
    _xlfn.XLOOKUP(
        $A5,
        Table1[Location],
        INDEX(Table1[], , MATCH(D$1, Table1[#Headers], 0))
    ),
"")</f>
        <v>0</v>
      </c>
      <c r="E5" s="28" cm="1">
        <f t="array" ref="E5">IFERROR(
    _xlfn.XLOOKUP(
        $A5,
        Table1[Location],
        INDEX(Table1[], , MATCH(E$1, Table1[#Headers], 0))
    ),
"")</f>
        <v>0</v>
      </c>
      <c r="F5" s="28" cm="1">
        <f t="array" ref="F5">IFERROR(
    _xlfn.XLOOKUP(
        $A5,
        Table1[Location],
        INDEX(Table1[], , MATCH(F$1, Table1[#Headers], 0))
    ),
"")</f>
        <v>0</v>
      </c>
      <c r="G5" s="28" cm="1">
        <f t="array" ref="G5">IFERROR(
    _xlfn.XLOOKUP(
        $A5,
        Table1[Location],
        INDEX(Table1[], , MATCH(G$1, Table1[#Headers], 0))
    ),
"")</f>
        <v>0</v>
      </c>
      <c r="H5" s="28" cm="1">
        <f t="array" ref="H5">IFERROR(
    _xlfn.XLOOKUP(
        $A5,
        Table1[Location],
        INDEX(Table1[], , MATCH(H$1, Table1[#Headers], 0))
    ),
"")</f>
        <v>0</v>
      </c>
      <c r="I5" s="28" cm="1">
        <f t="array" ref="I5">IFERROR(
    _xlfn.XLOOKUP(
        $A5,
        Table1[Location],
        INDEX(Table1[], , MATCH(I$1, Table1[#Headers], 0))
    ),
"")</f>
        <v>0</v>
      </c>
      <c r="J5" s="28" cm="1">
        <f t="array" ref="J5">IFERROR(
    _xlfn.XLOOKUP(
        $A5,
        Table1[Location],
        INDEX(Table1[], , MATCH(J$1, Table1[#Headers], 0))
    ),
"")</f>
        <v>0</v>
      </c>
      <c r="K5" s="28" cm="1">
        <f t="array" ref="K5">IFERROR(
    _xlfn.XLOOKUP(
        $A5,
        Table1[Location],
        INDEX(Table1[], , MATCH(K$1, Table1[#Headers], 0))
    ),
"")</f>
        <v>0</v>
      </c>
      <c r="L5" s="28" cm="1">
        <f t="array" ref="L5">IFERROR(
    _xlfn.XLOOKUP(
        $A5,
        Table1[Location],
        INDEX(Table1[], , MATCH(L$1, Table1[#Headers], 0))
    ),
"")</f>
        <v>0</v>
      </c>
      <c r="M5" s="28" cm="1">
        <f t="array" ref="M5">IFERROR(
    _xlfn.XLOOKUP(
        $A5,
        Table1[Location],
        INDEX(Table1[], , MATCH(M$1, Table1[#Headers], 0))
    ),
"")</f>
        <v>0</v>
      </c>
      <c r="N5" s="28" cm="1">
        <f t="array" ref="N5">IFERROR(
    _xlfn.XLOOKUP(
        $A5,
        Table1[Location],
        INDEX(Table1[], , MATCH(N$1, Table1[#Headers], 0))
    ),
"")</f>
        <v>0</v>
      </c>
      <c r="O5" s="28">
        <f t="shared" si="1"/>
        <v>0</v>
      </c>
      <c r="Q5" s="28">
        <f t="shared" si="2"/>
        <v>0</v>
      </c>
      <c r="R5" s="28">
        <f t="shared" si="3"/>
        <v>0</v>
      </c>
      <c r="S5" s="28">
        <f t="shared" si="4"/>
        <v>0</v>
      </c>
      <c r="T5" s="28">
        <f t="shared" si="5"/>
        <v>0</v>
      </c>
      <c r="U5" s="28">
        <f t="shared" si="6"/>
        <v>0</v>
      </c>
      <c r="V5" s="28">
        <f t="shared" si="7"/>
        <v>0</v>
      </c>
      <c r="W5" s="28">
        <f t="shared" si="8"/>
        <v>0</v>
      </c>
      <c r="X5" s="28">
        <f t="shared" si="9"/>
        <v>0</v>
      </c>
      <c r="Y5" s="28">
        <f t="shared" si="10"/>
        <v>0</v>
      </c>
      <c r="Z5" s="28">
        <f t="shared" si="11"/>
        <v>0</v>
      </c>
      <c r="AA5" s="28">
        <f t="shared" si="12"/>
        <v>0</v>
      </c>
      <c r="AB5" s="28">
        <f t="shared" si="13"/>
        <v>0</v>
      </c>
      <c r="AC5" s="28">
        <f t="shared" si="14"/>
        <v>0</v>
      </c>
    </row>
    <row r="6" spans="1:29" x14ac:dyDescent="0.3">
      <c r="A6" s="29" t="s">
        <v>61</v>
      </c>
      <c r="B6" s="32" t="str" cm="1">
        <f t="array" ref="B6">IFERROR(
    _xlfn.XLOOKUP(
        $A6,
        Table1[Location],
        INDEX(Table1[], , MATCH(B$1, Table1[#Headers], 0))
    ),
"")</f>
        <v>CA</v>
      </c>
      <c r="C6" s="28" cm="1">
        <f t="array" ref="C6">IFERROR(
    _xlfn.XLOOKUP(
        $A6,
        Table1[Location],
        INDEX(Table1[], , MATCH(C$1, Table1[#Headers], 0))
    ),
"")</f>
        <v>15281</v>
      </c>
      <c r="D6" s="28" cm="1">
        <f t="array" ref="D6">IFERROR(
    _xlfn.XLOOKUP(
        $A6,
        Table1[Location],
        INDEX(Table1[], , MATCH(D$1, Table1[#Headers], 0))
    ),
"")</f>
        <v>12265</v>
      </c>
      <c r="E6" s="28" cm="1">
        <f t="array" ref="E6">IFERROR(
    _xlfn.XLOOKUP(
        $A6,
        Table1[Location],
        INDEX(Table1[], , MATCH(E$1, Table1[#Headers], 0))
    ),
"")</f>
        <v>26766.808411000002</v>
      </c>
      <c r="F6" s="28" cm="1">
        <f t="array" ref="F6">IFERROR(
    _xlfn.XLOOKUP(
        $A6,
        Table1[Location],
        INDEX(Table1[], , MATCH(F$1, Table1[#Headers], 0))
    ),
"")</f>
        <v>26489</v>
      </c>
      <c r="G6" s="28" cm="1">
        <f t="array" ref="G6">IFERROR(
    _xlfn.XLOOKUP(
        $A6,
        Table1[Location],
        INDEX(Table1[], , MATCH(G$1, Table1[#Headers], 0))
    ),
"")</f>
        <v>21560</v>
      </c>
      <c r="H6" s="28" cm="1">
        <f t="array" ref="H6">IFERROR(
    _xlfn.XLOOKUP(
        $A6,
        Table1[Location],
        INDEX(Table1[], , MATCH(H$1, Table1[#Headers], 0))
    ),
"")</f>
        <v>24130</v>
      </c>
      <c r="I6" s="28" cm="1">
        <f t="array" ref="I6">IFERROR(
    _xlfn.XLOOKUP(
        $A6,
        Table1[Location],
        INDEX(Table1[], , MATCH(I$1, Table1[#Headers], 0))
    ),
"")</f>
        <v>26321</v>
      </c>
      <c r="J6" s="28" cm="1">
        <f t="array" ref="J6">IFERROR(
    _xlfn.XLOOKUP(
        $A6,
        Table1[Location],
        INDEX(Table1[], , MATCH(J$1, Table1[#Headers], 0))
    ),
"")</f>
        <v>28322</v>
      </c>
      <c r="K6" s="28" cm="1">
        <f t="array" ref="K6">IFERROR(
    _xlfn.XLOOKUP(
        $A6,
        Table1[Location],
        INDEX(Table1[], , MATCH(K$1, Table1[#Headers], 0))
    ),
"")</f>
        <v>19159</v>
      </c>
      <c r="L6" s="28" cm="1">
        <f t="array" ref="L6">IFERROR(
    _xlfn.XLOOKUP(
        $A6,
        Table1[Location],
        INDEX(Table1[], , MATCH(L$1, Table1[#Headers], 0))
    ),
"")</f>
        <v>20199.088166000001</v>
      </c>
      <c r="M6" s="28" cm="1">
        <f t="array" ref="M6">IFERROR(
    _xlfn.XLOOKUP(
        $A6,
        Table1[Location],
        INDEX(Table1[], , MATCH(M$1, Table1[#Headers], 0))
    ),
"")</f>
        <v>6465.5583889999998</v>
      </c>
      <c r="N6" s="28" cm="1">
        <f t="array" ref="N6">IFERROR(
    _xlfn.XLOOKUP(
        $A6,
        Table1[Location],
        INDEX(Table1[], , MATCH(N$1, Table1[#Headers], 0))
    ),
"")</f>
        <v>13624.93253</v>
      </c>
      <c r="O6" s="28">
        <f t="shared" si="1"/>
        <v>240583.38749600001</v>
      </c>
      <c r="Q6" s="28">
        <f t="shared" si="2"/>
        <v>152.81</v>
      </c>
      <c r="R6" s="28">
        <f t="shared" si="3"/>
        <v>122.65</v>
      </c>
      <c r="S6" s="28">
        <f t="shared" si="4"/>
        <v>267.66808411</v>
      </c>
      <c r="T6" s="28">
        <f t="shared" si="5"/>
        <v>264.89</v>
      </c>
      <c r="U6" s="28">
        <f t="shared" si="6"/>
        <v>215.6</v>
      </c>
      <c r="V6" s="28">
        <f t="shared" si="7"/>
        <v>241.3</v>
      </c>
      <c r="W6" s="28">
        <f t="shared" si="8"/>
        <v>263.20999999999998</v>
      </c>
      <c r="X6" s="28">
        <f t="shared" si="9"/>
        <v>283.22000000000003</v>
      </c>
      <c r="Y6" s="28">
        <f t="shared" si="10"/>
        <v>191.59</v>
      </c>
      <c r="Z6" s="28">
        <f t="shared" si="11"/>
        <v>201.99088166000001</v>
      </c>
      <c r="AA6" s="28">
        <f t="shared" si="12"/>
        <v>64.655583890000003</v>
      </c>
      <c r="AB6" s="28">
        <f t="shared" si="13"/>
        <v>136.24932530000001</v>
      </c>
      <c r="AC6" s="28">
        <f t="shared" si="14"/>
        <v>2405.8338749599998</v>
      </c>
    </row>
    <row r="7" spans="1:29" x14ac:dyDescent="0.3">
      <c r="A7" s="29" t="s">
        <v>63</v>
      </c>
      <c r="B7" s="32" t="str" cm="1">
        <f t="array" ref="B7">IFERROR(
    _xlfn.XLOOKUP(
        $A7,
        Table1[Location],
        INDEX(Table1[], , MATCH(B$1, Table1[#Headers], 0))
    ),
"")</f>
        <v>CA</v>
      </c>
      <c r="C7" s="28" cm="1">
        <f t="array" ref="C7">IFERROR(
    _xlfn.XLOOKUP(
        $A7,
        Table1[Location],
        INDEX(Table1[], , MATCH(C$1, Table1[#Headers], 0))
    ),
"")</f>
        <v>15240</v>
      </c>
      <c r="D7" s="28" cm="1">
        <f t="array" ref="D7">IFERROR(
    _xlfn.XLOOKUP(
        $A7,
        Table1[Location],
        INDEX(Table1[], , MATCH(D$1, Table1[#Headers], 0))
    ),
"")</f>
        <v>17180</v>
      </c>
      <c r="E7" s="28" cm="1">
        <f t="array" ref="E7">IFERROR(
    _xlfn.XLOOKUP(
        $A7,
        Table1[Location],
        INDEX(Table1[], , MATCH(E$1, Table1[#Headers], 0))
    ),
"")</f>
        <v>36840</v>
      </c>
      <c r="F7" s="28" cm="1">
        <f t="array" ref="F7">IFERROR(
    _xlfn.XLOOKUP(
        $A7,
        Table1[Location],
        INDEX(Table1[], , MATCH(F$1, Table1[#Headers], 0))
    ),
"")</f>
        <v>29850</v>
      </c>
      <c r="G7" s="28" cm="1">
        <f t="array" ref="G7">IFERROR(
    _xlfn.XLOOKUP(
        $A7,
        Table1[Location],
        INDEX(Table1[], , MATCH(G$1, Table1[#Headers], 0))
    ),
"")</f>
        <v>41407.728529</v>
      </c>
      <c r="H7" s="28" cm="1">
        <f t="array" ref="H7">IFERROR(
    _xlfn.XLOOKUP(
        $A7,
        Table1[Location],
        INDEX(Table1[], , MATCH(H$1, Table1[#Headers], 0))
    ),
"")</f>
        <v>49502.245641000001</v>
      </c>
      <c r="I7" s="28" cm="1">
        <f t="array" ref="I7">IFERROR(
    _xlfn.XLOOKUP(
        $A7,
        Table1[Location],
        INDEX(Table1[], , MATCH(I$1, Table1[#Headers], 0))
    ),
"")</f>
        <v>36459</v>
      </c>
      <c r="J7" s="28" cm="1">
        <f t="array" ref="J7">IFERROR(
    _xlfn.XLOOKUP(
        $A7,
        Table1[Location],
        INDEX(Table1[], , MATCH(J$1, Table1[#Headers], 0))
    ),
"")</f>
        <v>36587</v>
      </c>
      <c r="K7" s="28" cm="1">
        <f t="array" ref="K7">IFERROR(
    _xlfn.XLOOKUP(
        $A7,
        Table1[Location],
        INDEX(Table1[], , MATCH(K$1, Table1[#Headers], 0))
    ),
"")</f>
        <v>41225</v>
      </c>
      <c r="L7" s="28" cm="1">
        <f t="array" ref="L7">IFERROR(
    _xlfn.XLOOKUP(
        $A7,
        Table1[Location],
        INDEX(Table1[], , MATCH(L$1, Table1[#Headers], 0))
    ),
"")</f>
        <v>42006.823347999998</v>
      </c>
      <c r="M7" s="28" cm="1">
        <f t="array" ref="M7">IFERROR(
    _xlfn.XLOOKUP(
        $A7,
        Table1[Location],
        INDEX(Table1[], , MATCH(M$1, Table1[#Headers], 0))
    ),
"")</f>
        <v>7461.0331640000004</v>
      </c>
      <c r="N7" s="28" cm="1">
        <f t="array" ref="N7">IFERROR(
    _xlfn.XLOOKUP(
        $A7,
        Table1[Location],
        INDEX(Table1[], , MATCH(N$1, Table1[#Headers], 0))
    ),
"")</f>
        <v>8315.7337279999992</v>
      </c>
      <c r="O7" s="28">
        <f t="shared" si="1"/>
        <v>362074.56441000005</v>
      </c>
      <c r="Q7" s="28">
        <f t="shared" si="2"/>
        <v>152.4</v>
      </c>
      <c r="R7" s="28">
        <f t="shared" si="3"/>
        <v>171.8</v>
      </c>
      <c r="S7" s="28">
        <f t="shared" si="4"/>
        <v>368.40000000000003</v>
      </c>
      <c r="T7" s="28">
        <f t="shared" si="5"/>
        <v>298.5</v>
      </c>
      <c r="U7" s="28">
        <f t="shared" si="6"/>
        <v>414.07728529000002</v>
      </c>
      <c r="V7" s="28">
        <f t="shared" si="7"/>
        <v>495.02245641000002</v>
      </c>
      <c r="W7" s="28">
        <f t="shared" si="8"/>
        <v>364.59000000000003</v>
      </c>
      <c r="X7" s="28">
        <f t="shared" si="9"/>
        <v>365.87</v>
      </c>
      <c r="Y7" s="28">
        <f t="shared" si="10"/>
        <v>412.25</v>
      </c>
      <c r="Z7" s="28">
        <f t="shared" si="11"/>
        <v>420.06823348</v>
      </c>
      <c r="AA7" s="28">
        <f t="shared" si="12"/>
        <v>74.610331640000012</v>
      </c>
      <c r="AB7" s="28">
        <f t="shared" si="13"/>
        <v>83.157337279999993</v>
      </c>
      <c r="AC7" s="28">
        <f t="shared" si="14"/>
        <v>3620.7456440999999</v>
      </c>
    </row>
    <row r="8" spans="1:29" x14ac:dyDescent="0.3">
      <c r="A8" s="29" t="s">
        <v>64</v>
      </c>
      <c r="B8" s="32" t="str" cm="1">
        <f t="array" ref="B8">IFERROR(
    _xlfn.XLOOKUP(
        $A8,
        Table1[Location],
        INDEX(Table1[], , MATCH(B$1, Table1[#Headers], 0))
    ),
"")</f>
        <v>CA</v>
      </c>
      <c r="C8" s="28" cm="1">
        <f t="array" ref="C8">IFERROR(
    _xlfn.XLOOKUP(
        $A8,
        Table1[Location],
        INDEX(Table1[], , MATCH(C$1, Table1[#Headers], 0))
    ),
"")</f>
        <v>41365</v>
      </c>
      <c r="D8" s="28" cm="1">
        <f t="array" ref="D8">IFERROR(
    _xlfn.XLOOKUP(
        $A8,
        Table1[Location],
        INDEX(Table1[], , MATCH(D$1, Table1[#Headers], 0))
    ),
"")</f>
        <v>30971</v>
      </c>
      <c r="E8" s="28" cm="1">
        <f t="array" ref="E8">IFERROR(
    _xlfn.XLOOKUP(
        $A8,
        Table1[Location],
        INDEX(Table1[], , MATCH(E$1, Table1[#Headers], 0))
    ),
"")</f>
        <v>28351</v>
      </c>
      <c r="F8" s="28" cm="1">
        <f t="array" ref="F8">IFERROR(
    _xlfn.XLOOKUP(
        $A8,
        Table1[Location],
        INDEX(Table1[], , MATCH(F$1, Table1[#Headers], 0))
    ),
"")</f>
        <v>64085</v>
      </c>
      <c r="G8" s="28" cm="1">
        <f t="array" ref="G8">IFERROR(
    _xlfn.XLOOKUP(
        $A8,
        Table1[Location],
        INDEX(Table1[], , MATCH(G$1, Table1[#Headers], 0))
    ),
"")</f>
        <v>36841</v>
      </c>
      <c r="H8" s="28" cm="1">
        <f t="array" ref="H8">IFERROR(
    _xlfn.XLOOKUP(
        $A8,
        Table1[Location],
        INDEX(Table1[], , MATCH(H$1, Table1[#Headers], 0))
    ),
"")</f>
        <v>23827</v>
      </c>
      <c r="I8" s="28" cm="1">
        <f t="array" ref="I8">IFERROR(
    _xlfn.XLOOKUP(
        $A8,
        Table1[Location],
        INDEX(Table1[], , MATCH(I$1, Table1[#Headers], 0))
    ),
"")</f>
        <v>53719</v>
      </c>
      <c r="J8" s="28" cm="1">
        <f t="array" ref="J8">IFERROR(
    _xlfn.XLOOKUP(
        $A8,
        Table1[Location],
        INDEX(Table1[], , MATCH(J$1, Table1[#Headers], 0))
    ),
"")</f>
        <v>68287</v>
      </c>
      <c r="K8" s="28" cm="1">
        <f t="array" ref="K8">IFERROR(
    _xlfn.XLOOKUP(
        $A8,
        Table1[Location],
        INDEX(Table1[], , MATCH(K$1, Table1[#Headers], 0))
    ),
"")</f>
        <v>36320</v>
      </c>
      <c r="L8" s="28" cm="1">
        <f t="array" ref="L8">IFERROR(
    _xlfn.XLOOKUP(
        $A8,
        Table1[Location],
        INDEX(Table1[], , MATCH(L$1, Table1[#Headers], 0))
    ),
"")</f>
        <v>46817</v>
      </c>
      <c r="M8" s="28" cm="1">
        <f t="array" ref="M8">IFERROR(
    _xlfn.XLOOKUP(
        $A8,
        Table1[Location],
        INDEX(Table1[], , MATCH(M$1, Table1[#Headers], 0))
    ),
"")</f>
        <v>14127.697568</v>
      </c>
      <c r="N8" s="28" cm="1">
        <f t="array" ref="N8">IFERROR(
    _xlfn.XLOOKUP(
        $A8,
        Table1[Location],
        INDEX(Table1[], , MATCH(N$1, Table1[#Headers], 0))
    ),
"")</f>
        <v>8868.7752700000001</v>
      </c>
      <c r="O8" s="28">
        <f t="shared" si="1"/>
        <v>453579.47283799999</v>
      </c>
      <c r="Q8" s="28">
        <f t="shared" si="2"/>
        <v>413.65000000000003</v>
      </c>
      <c r="R8" s="28">
        <f t="shared" si="3"/>
        <v>309.70999999999998</v>
      </c>
      <c r="S8" s="28">
        <f t="shared" si="4"/>
        <v>283.51</v>
      </c>
      <c r="T8" s="28">
        <f t="shared" si="5"/>
        <v>640.85</v>
      </c>
      <c r="U8" s="28">
        <f t="shared" si="6"/>
        <v>368.41</v>
      </c>
      <c r="V8" s="28">
        <f t="shared" si="7"/>
        <v>238.27</v>
      </c>
      <c r="W8" s="28">
        <f t="shared" si="8"/>
        <v>537.19000000000005</v>
      </c>
      <c r="X8" s="28">
        <f t="shared" si="9"/>
        <v>682.87</v>
      </c>
      <c r="Y8" s="28">
        <f t="shared" si="10"/>
        <v>363.2</v>
      </c>
      <c r="Z8" s="28">
        <f t="shared" si="11"/>
        <v>468.17</v>
      </c>
      <c r="AA8" s="28">
        <f t="shared" si="12"/>
        <v>141.27697567999999</v>
      </c>
      <c r="AB8" s="28">
        <f t="shared" si="13"/>
        <v>88.687752700000004</v>
      </c>
      <c r="AC8" s="28">
        <f t="shared" si="14"/>
        <v>4535.7947283799995</v>
      </c>
    </row>
    <row r="9" spans="1:29" x14ac:dyDescent="0.3">
      <c r="A9" s="29" t="s">
        <v>65</v>
      </c>
      <c r="B9" s="32" t="str" cm="1">
        <f t="array" ref="B9">IFERROR(
    _xlfn.XLOOKUP(
        $A9,
        Table1[Location],
        INDEX(Table1[], , MATCH(B$1, Table1[#Headers], 0))
    ),
"")</f>
        <v>CA</v>
      </c>
      <c r="C9" s="28" cm="1">
        <f t="array" ref="C9">IFERROR(
    _xlfn.XLOOKUP(
        $A9,
        Table1[Location],
        INDEX(Table1[], , MATCH(C$1, Table1[#Headers], 0))
    ),
"")</f>
        <v>9125</v>
      </c>
      <c r="D9" s="28" cm="1">
        <f t="array" ref="D9">IFERROR(
    _xlfn.XLOOKUP(
        $A9,
        Table1[Location],
        INDEX(Table1[], , MATCH(D$1, Table1[#Headers], 0))
    ),
"")</f>
        <v>15870</v>
      </c>
      <c r="E9" s="28" cm="1">
        <f t="array" ref="E9">IFERROR(
    _xlfn.XLOOKUP(
        $A9,
        Table1[Location],
        INDEX(Table1[], , MATCH(E$1, Table1[#Headers], 0))
    ),
"")</f>
        <v>45042.719753999998</v>
      </c>
      <c r="F9" s="28" cm="1">
        <f t="array" ref="F9">IFERROR(
    _xlfn.XLOOKUP(
        $A9,
        Table1[Location],
        INDEX(Table1[], , MATCH(F$1, Table1[#Headers], 0))
    ),
"")</f>
        <v>42654.585823000001</v>
      </c>
      <c r="G9" s="28" cm="1">
        <f t="array" ref="G9">IFERROR(
    _xlfn.XLOOKUP(
        $A9,
        Table1[Location],
        INDEX(Table1[], , MATCH(G$1, Table1[#Headers], 0))
    ),
"")</f>
        <v>28762</v>
      </c>
      <c r="H9" s="28" cm="1">
        <f t="array" ref="H9">IFERROR(
    _xlfn.XLOOKUP(
        $A9,
        Table1[Location],
        INDEX(Table1[], , MATCH(H$1, Table1[#Headers], 0))
    ),
"")</f>
        <v>49652.069622000003</v>
      </c>
      <c r="I9" s="28" cm="1">
        <f t="array" ref="I9">IFERROR(
    _xlfn.XLOOKUP(
        $A9,
        Table1[Location],
        INDEX(Table1[], , MATCH(I$1, Table1[#Headers], 0))
    ),
"")</f>
        <v>38520</v>
      </c>
      <c r="J9" s="28" cm="1">
        <f t="array" ref="J9">IFERROR(
    _xlfn.XLOOKUP(
        $A9,
        Table1[Location],
        INDEX(Table1[], , MATCH(J$1, Table1[#Headers], 0))
    ),
"")</f>
        <v>35214</v>
      </c>
      <c r="K9" s="28" cm="1">
        <f t="array" ref="K9">IFERROR(
    _xlfn.XLOOKUP(
        $A9,
        Table1[Location],
        INDEX(Table1[], , MATCH(K$1, Table1[#Headers], 0))
    ),
"")</f>
        <v>43800.89011</v>
      </c>
      <c r="L9" s="28" cm="1">
        <f t="array" ref="L9">IFERROR(
    _xlfn.XLOOKUP(
        $A9,
        Table1[Location],
        INDEX(Table1[], , MATCH(L$1, Table1[#Headers], 0))
    ),
"")</f>
        <v>28212</v>
      </c>
      <c r="M9" s="28" cm="1">
        <f t="array" ref="M9">IFERROR(
    _xlfn.XLOOKUP(
        $A9,
        Table1[Location],
        INDEX(Table1[], , MATCH(M$1, Table1[#Headers], 0))
    ),
"")</f>
        <v>29663.137242000001</v>
      </c>
      <c r="N9" s="28" cm="1">
        <f t="array" ref="N9">IFERROR(
    _xlfn.XLOOKUP(
        $A9,
        Table1[Location],
        INDEX(Table1[], , MATCH(N$1, Table1[#Headers], 0))
    ),
"")</f>
        <v>25360</v>
      </c>
      <c r="O9" s="28">
        <f t="shared" si="1"/>
        <v>391876.40255100001</v>
      </c>
      <c r="Q9" s="28">
        <f t="shared" si="2"/>
        <v>91.25</v>
      </c>
      <c r="R9" s="28">
        <f t="shared" si="3"/>
        <v>158.70000000000002</v>
      </c>
      <c r="S9" s="28">
        <f t="shared" si="4"/>
        <v>450.42719754000001</v>
      </c>
      <c r="T9" s="28">
        <f t="shared" si="5"/>
        <v>426.54585823000002</v>
      </c>
      <c r="U9" s="28">
        <f t="shared" si="6"/>
        <v>287.62</v>
      </c>
      <c r="V9" s="28">
        <f t="shared" si="7"/>
        <v>496.52069622000005</v>
      </c>
      <c r="W9" s="28">
        <f t="shared" si="8"/>
        <v>385.2</v>
      </c>
      <c r="X9" s="28">
        <f t="shared" si="9"/>
        <v>352.14</v>
      </c>
      <c r="Y9" s="28">
        <f t="shared" si="10"/>
        <v>438.0089011</v>
      </c>
      <c r="Z9" s="28">
        <f t="shared" si="11"/>
        <v>282.12</v>
      </c>
      <c r="AA9" s="28">
        <f t="shared" si="12"/>
        <v>296.63137241999999</v>
      </c>
      <c r="AB9" s="28">
        <f t="shared" si="13"/>
        <v>253.6</v>
      </c>
      <c r="AC9" s="28">
        <f t="shared" si="14"/>
        <v>3918.7640255099996</v>
      </c>
    </row>
    <row r="10" spans="1:29" x14ac:dyDescent="0.3">
      <c r="A10" s="29" t="s">
        <v>66</v>
      </c>
      <c r="B10" s="32" t="str" cm="1">
        <f t="array" ref="B10">IFERROR(
    _xlfn.XLOOKUP(
        $A10,
        Table1[Location],
        INDEX(Table1[], , MATCH(B$1, Table1[#Headers], 0))
    ),
"")</f>
        <v>CA</v>
      </c>
      <c r="C10" s="28" cm="1">
        <f t="array" ref="C10">IFERROR(
    _xlfn.XLOOKUP(
        $A10,
        Table1[Location],
        INDEX(Table1[], , MATCH(C$1, Table1[#Headers], 0))
    ),
"")</f>
        <v>19223</v>
      </c>
      <c r="D10" s="28" cm="1">
        <f t="array" ref="D10">IFERROR(
    _xlfn.XLOOKUP(
        $A10,
        Table1[Location],
        INDEX(Table1[], , MATCH(D$1, Table1[#Headers], 0))
    ),
"")</f>
        <v>14265</v>
      </c>
      <c r="E10" s="28" cm="1">
        <f t="array" ref="E10">IFERROR(
    _xlfn.XLOOKUP(
        $A10,
        Table1[Location],
        INDEX(Table1[], , MATCH(E$1, Table1[#Headers], 0))
    ),
"")</f>
        <v>19312</v>
      </c>
      <c r="F10" s="28" cm="1">
        <f t="array" ref="F10">IFERROR(
    _xlfn.XLOOKUP(
        $A10,
        Table1[Location],
        INDEX(Table1[], , MATCH(F$1, Table1[#Headers], 0))
    ),
"")</f>
        <v>24076</v>
      </c>
      <c r="G10" s="28" cm="1">
        <f t="array" ref="G10">IFERROR(
    _xlfn.XLOOKUP(
        $A10,
        Table1[Location],
        INDEX(Table1[], , MATCH(G$1, Table1[#Headers], 0))
    ),
"")</f>
        <v>26579</v>
      </c>
      <c r="H10" s="28" cm="1">
        <f t="array" ref="H10">IFERROR(
    _xlfn.XLOOKUP(
        $A10,
        Table1[Location],
        INDEX(Table1[], , MATCH(H$1, Table1[#Headers], 0))
    ),
"")</f>
        <v>16658.214556999999</v>
      </c>
      <c r="I10" s="28" cm="1">
        <f t="array" ref="I10">IFERROR(
    _xlfn.XLOOKUP(
        $A10,
        Table1[Location],
        INDEX(Table1[], , MATCH(I$1, Table1[#Headers], 0))
    ),
"")</f>
        <v>34816.297886</v>
      </c>
      <c r="J10" s="28" cm="1">
        <f t="array" ref="J10">IFERROR(
    _xlfn.XLOOKUP(
        $A10,
        Table1[Location],
        INDEX(Table1[], , MATCH(J$1, Table1[#Headers], 0))
    ),
"")</f>
        <v>22873.898722000002</v>
      </c>
      <c r="K10" s="28" cm="1">
        <f t="array" ref="K10">IFERROR(
    _xlfn.XLOOKUP(
        $A10,
        Table1[Location],
        INDEX(Table1[], , MATCH(K$1, Table1[#Headers], 0))
    ),
"")</f>
        <v>45298</v>
      </c>
      <c r="L10" s="28" cm="1">
        <f t="array" ref="L10">IFERROR(
    _xlfn.XLOOKUP(
        $A10,
        Table1[Location],
        INDEX(Table1[], , MATCH(L$1, Table1[#Headers], 0))
    ),
"")</f>
        <v>19254</v>
      </c>
      <c r="M10" s="28" cm="1">
        <f t="array" ref="M10">IFERROR(
    _xlfn.XLOOKUP(
        $A10,
        Table1[Location],
        INDEX(Table1[], , MATCH(M$1, Table1[#Headers], 0))
    ),
"")</f>
        <v>15865</v>
      </c>
      <c r="N10" s="28" cm="1">
        <f t="array" ref="N10">IFERROR(
    _xlfn.XLOOKUP(
        $A10,
        Table1[Location],
        INDEX(Table1[], , MATCH(N$1, Table1[#Headers], 0))
    ),
"")</f>
        <v>26874</v>
      </c>
      <c r="O10" s="28">
        <f t="shared" si="1"/>
        <v>285094.411165</v>
      </c>
      <c r="Q10" s="28">
        <f t="shared" si="2"/>
        <v>192.23000000000002</v>
      </c>
      <c r="R10" s="28">
        <f t="shared" si="3"/>
        <v>142.65</v>
      </c>
      <c r="S10" s="28">
        <f t="shared" si="4"/>
        <v>193.12</v>
      </c>
      <c r="T10" s="28">
        <f t="shared" si="5"/>
        <v>240.76</v>
      </c>
      <c r="U10" s="28">
        <f t="shared" si="6"/>
        <v>265.79000000000002</v>
      </c>
      <c r="V10" s="28">
        <f t="shared" si="7"/>
        <v>166.58214556999999</v>
      </c>
      <c r="W10" s="28">
        <f t="shared" si="8"/>
        <v>348.16297886000001</v>
      </c>
      <c r="X10" s="28">
        <f t="shared" si="9"/>
        <v>228.73898722000001</v>
      </c>
      <c r="Y10" s="28">
        <f t="shared" si="10"/>
        <v>452.98</v>
      </c>
      <c r="Z10" s="28">
        <f t="shared" si="11"/>
        <v>192.54</v>
      </c>
      <c r="AA10" s="28">
        <f t="shared" si="12"/>
        <v>158.65</v>
      </c>
      <c r="AB10" s="28">
        <f t="shared" si="13"/>
        <v>268.74</v>
      </c>
      <c r="AC10" s="28">
        <f t="shared" si="14"/>
        <v>2850.9441116500002</v>
      </c>
    </row>
    <row r="11" spans="1:29" x14ac:dyDescent="0.3">
      <c r="A11" s="29" t="s">
        <v>68</v>
      </c>
      <c r="B11" s="32" t="str" cm="1">
        <f t="array" ref="B11">IFERROR(
    _xlfn.XLOOKUP(
        $A11,
        Table1[Location],
        INDEX(Table1[], , MATCH(B$1, Table1[#Headers], 0))
    ),
"")</f>
        <v>CA</v>
      </c>
      <c r="C11" s="28" cm="1">
        <f t="array" ref="C11">IFERROR(
    _xlfn.XLOOKUP(
        $A11,
        Table1[Location],
        INDEX(Table1[], , MATCH(C$1, Table1[#Headers], 0))
    ),
"")</f>
        <v>11327</v>
      </c>
      <c r="D11" s="28" cm="1">
        <f t="array" ref="D11">IFERROR(
    _xlfn.XLOOKUP(
        $A11,
        Table1[Location],
        INDEX(Table1[], , MATCH(D$1, Table1[#Headers], 0))
    ),
"")</f>
        <v>12652</v>
      </c>
      <c r="E11" s="28" cm="1">
        <f t="array" ref="E11">IFERROR(
    _xlfn.XLOOKUP(
        $A11,
        Table1[Location],
        INDEX(Table1[], , MATCH(E$1, Table1[#Headers], 0))
    ),
"")</f>
        <v>18265</v>
      </c>
      <c r="F11" s="28" cm="1">
        <f t="array" ref="F11">IFERROR(
    _xlfn.XLOOKUP(
        $A11,
        Table1[Location],
        INDEX(Table1[], , MATCH(F$1, Table1[#Headers], 0))
    ),
"")</f>
        <v>21326</v>
      </c>
      <c r="G11" s="28" cm="1">
        <f t="array" ref="G11">IFERROR(
    _xlfn.XLOOKUP(
        $A11,
        Table1[Location],
        INDEX(Table1[], , MATCH(G$1, Table1[#Headers], 0))
    ),
"")</f>
        <v>26584</v>
      </c>
      <c r="H11" s="28" cm="1">
        <f t="array" ref="H11">IFERROR(
    _xlfn.XLOOKUP(
        $A11,
        Table1[Location],
        INDEX(Table1[], , MATCH(H$1, Table1[#Headers], 0))
    ),
"")</f>
        <v>31320</v>
      </c>
      <c r="I11" s="28" cm="1">
        <f t="array" ref="I11">IFERROR(
    _xlfn.XLOOKUP(
        $A11,
        Table1[Location],
        INDEX(Table1[], , MATCH(I$1, Table1[#Headers], 0))
    ),
"")</f>
        <v>29526</v>
      </c>
      <c r="J11" s="28" cm="1">
        <f t="array" ref="J11">IFERROR(
    _xlfn.XLOOKUP(
        $A11,
        Table1[Location],
        INDEX(Table1[], , MATCH(J$1, Table1[#Headers], 0))
    ),
"")</f>
        <v>37247.951158000003</v>
      </c>
      <c r="K11" s="28" cm="1">
        <f t="array" ref="K11">IFERROR(
    _xlfn.XLOOKUP(
        $A11,
        Table1[Location],
        INDEX(Table1[], , MATCH(K$1, Table1[#Headers], 0))
    ),
"")</f>
        <v>15260</v>
      </c>
      <c r="L11" s="28" cm="1">
        <f t="array" ref="L11">IFERROR(
    _xlfn.XLOOKUP(
        $A11,
        Table1[Location],
        INDEX(Table1[], , MATCH(L$1, Table1[#Headers], 0))
    ),
"")</f>
        <v>17820</v>
      </c>
      <c r="M11" s="28" cm="1">
        <f t="array" ref="M11">IFERROR(
    _xlfn.XLOOKUP(
        $A11,
        Table1[Location],
        INDEX(Table1[], , MATCH(M$1, Table1[#Headers], 0))
    ),
"")</f>
        <v>20207.862386444449</v>
      </c>
      <c r="N11" s="28" cm="1">
        <f t="array" ref="N11">IFERROR(
    _xlfn.XLOOKUP(
        $A11,
        Table1[Location],
        INDEX(Table1[], , MATCH(N$1, Table1[#Headers], 0))
    ),
"")</f>
        <v>5026.7051819999997</v>
      </c>
      <c r="O11" s="28">
        <f t="shared" si="1"/>
        <v>246562.51872644445</v>
      </c>
      <c r="Q11" s="28">
        <f t="shared" si="2"/>
        <v>113.27</v>
      </c>
      <c r="R11" s="28">
        <f t="shared" si="3"/>
        <v>126.52</v>
      </c>
      <c r="S11" s="28">
        <f t="shared" si="4"/>
        <v>182.65</v>
      </c>
      <c r="T11" s="28">
        <f t="shared" si="5"/>
        <v>213.26</v>
      </c>
      <c r="U11" s="28">
        <f t="shared" si="6"/>
        <v>265.84000000000003</v>
      </c>
      <c r="V11" s="28">
        <f t="shared" si="7"/>
        <v>313.2</v>
      </c>
      <c r="W11" s="28">
        <f t="shared" si="8"/>
        <v>295.26</v>
      </c>
      <c r="X11" s="28">
        <f t="shared" si="9"/>
        <v>372.47951158000006</v>
      </c>
      <c r="Y11" s="28">
        <f t="shared" si="10"/>
        <v>152.6</v>
      </c>
      <c r="Z11" s="28">
        <f t="shared" si="11"/>
        <v>178.20000000000002</v>
      </c>
      <c r="AA11" s="28">
        <f t="shared" si="12"/>
        <v>202.07862386444449</v>
      </c>
      <c r="AB11" s="28">
        <f t="shared" si="13"/>
        <v>50.267051819999999</v>
      </c>
      <c r="AC11" s="28">
        <f t="shared" si="14"/>
        <v>2465.6251872644443</v>
      </c>
    </row>
    <row r="12" spans="1:29" x14ac:dyDescent="0.3">
      <c r="A12" s="29" t="s">
        <v>69</v>
      </c>
      <c r="B12" s="32" t="str" cm="1">
        <f t="array" ref="B12">IFERROR(
    _xlfn.XLOOKUP(
        $A12,
        Table1[Location],
        INDEX(Table1[], , MATCH(B$1, Table1[#Headers], 0))
    ),
"")</f>
        <v>CA</v>
      </c>
      <c r="C12" s="28" cm="1">
        <f t="array" ref="C12">IFERROR(
    _xlfn.XLOOKUP(
        $A12,
        Table1[Location],
        INDEX(Table1[], , MATCH(C$1, Table1[#Headers], 0))
    ),
"")</f>
        <v>2803</v>
      </c>
      <c r="D12" s="28" cm="1">
        <f t="array" ref="D12">IFERROR(
    _xlfn.XLOOKUP(
        $A12,
        Table1[Location],
        INDEX(Table1[], , MATCH(D$1, Table1[#Headers], 0))
    ),
"")</f>
        <v>3205</v>
      </c>
      <c r="E12" s="28" cm="1">
        <f t="array" ref="E12">IFERROR(
    _xlfn.XLOOKUP(
        $A12,
        Table1[Location],
        INDEX(Table1[], , MATCH(E$1, Table1[#Headers], 0))
    ),
"")</f>
        <v>11196</v>
      </c>
      <c r="F12" s="28" cm="1">
        <f t="array" ref="F12">IFERROR(
    _xlfn.XLOOKUP(
        $A12,
        Table1[Location],
        INDEX(Table1[], , MATCH(F$1, Table1[#Headers], 0))
    ),
"")</f>
        <v>34459</v>
      </c>
      <c r="G12" s="28" cm="1">
        <f t="array" ref="G12">IFERROR(
    _xlfn.XLOOKUP(
        $A12,
        Table1[Location],
        INDEX(Table1[], , MATCH(G$1, Table1[#Headers], 0))
    ),
"")</f>
        <v>16249</v>
      </c>
      <c r="H12" s="28" cm="1">
        <f t="array" ref="H12">IFERROR(
    _xlfn.XLOOKUP(
        $A12,
        Table1[Location],
        INDEX(Table1[], , MATCH(H$1, Table1[#Headers], 0))
    ),
"")</f>
        <v>37445</v>
      </c>
      <c r="I12" s="28" cm="1">
        <f t="array" ref="I12">IFERROR(
    _xlfn.XLOOKUP(
        $A12,
        Table1[Location],
        INDEX(Table1[], , MATCH(I$1, Table1[#Headers], 0))
    ),
"")</f>
        <v>22775</v>
      </c>
      <c r="J12" s="28" cm="1">
        <f t="array" ref="J12">IFERROR(
    _xlfn.XLOOKUP(
        $A12,
        Table1[Location],
        INDEX(Table1[], , MATCH(J$1, Table1[#Headers], 0))
    ),
"")</f>
        <v>13495</v>
      </c>
      <c r="K12" s="28" cm="1">
        <f t="array" ref="K12">IFERROR(
    _xlfn.XLOOKUP(
        $A12,
        Table1[Location],
        INDEX(Table1[], , MATCH(K$1, Table1[#Headers], 0))
    ),
"")</f>
        <v>34573</v>
      </c>
      <c r="L12" s="28" cm="1">
        <f t="array" ref="L12">IFERROR(
    _xlfn.XLOOKUP(
        $A12,
        Table1[Location],
        INDEX(Table1[], , MATCH(L$1, Table1[#Headers], 0))
    ),
"")</f>
        <v>16814</v>
      </c>
      <c r="M12" s="28" cm="1">
        <f t="array" ref="M12">IFERROR(
    _xlfn.XLOOKUP(
        $A12,
        Table1[Location],
        INDEX(Table1[], , MATCH(M$1, Table1[#Headers], 0))
    ),
"")</f>
        <v>15740.065044000001</v>
      </c>
      <c r="N12" s="28" cm="1">
        <f t="array" ref="N12">IFERROR(
    _xlfn.XLOOKUP(
        $A12,
        Table1[Location],
        INDEX(Table1[], , MATCH(N$1, Table1[#Headers], 0))
    ),
"")</f>
        <v>18823.523022000001</v>
      </c>
      <c r="O12" s="28">
        <f t="shared" si="1"/>
        <v>227577.588066</v>
      </c>
      <c r="Q12" s="28">
        <f t="shared" si="2"/>
        <v>28.03</v>
      </c>
      <c r="R12" s="28">
        <f t="shared" si="3"/>
        <v>32.049999999999997</v>
      </c>
      <c r="S12" s="28">
        <f t="shared" si="4"/>
        <v>111.96000000000001</v>
      </c>
      <c r="T12" s="28">
        <f t="shared" si="5"/>
        <v>344.59000000000003</v>
      </c>
      <c r="U12" s="28">
        <f t="shared" si="6"/>
        <v>162.49</v>
      </c>
      <c r="V12" s="28">
        <f t="shared" si="7"/>
        <v>374.45</v>
      </c>
      <c r="W12" s="28">
        <f t="shared" si="8"/>
        <v>227.75</v>
      </c>
      <c r="X12" s="28">
        <f t="shared" si="9"/>
        <v>134.94999999999999</v>
      </c>
      <c r="Y12" s="28">
        <f t="shared" si="10"/>
        <v>345.73</v>
      </c>
      <c r="Z12" s="28">
        <f t="shared" si="11"/>
        <v>168.14000000000001</v>
      </c>
      <c r="AA12" s="28">
        <f t="shared" si="12"/>
        <v>157.40065044000002</v>
      </c>
      <c r="AB12" s="28">
        <f t="shared" si="13"/>
        <v>188.23523022000001</v>
      </c>
      <c r="AC12" s="28">
        <f t="shared" si="14"/>
        <v>2275.7758806600004</v>
      </c>
    </row>
    <row r="13" spans="1:29" x14ac:dyDescent="0.3">
      <c r="A13" s="29" t="s">
        <v>70</v>
      </c>
      <c r="B13" s="32" t="str" cm="1">
        <f t="array" ref="B13">IFERROR(
    _xlfn.XLOOKUP(
        $A13,
        Table1[Location],
        INDEX(Table1[], , MATCH(B$1, Table1[#Headers], 0))
    ),
"")</f>
        <v>CA</v>
      </c>
      <c r="C13" s="28" cm="1">
        <f t="array" ref="C13">IFERROR(
    _xlfn.XLOOKUP(
        $A13,
        Table1[Location],
        INDEX(Table1[], , MATCH(C$1, Table1[#Headers], 0))
    ),
"")</f>
        <v>15872</v>
      </c>
      <c r="D13" s="28" cm="1">
        <f t="array" ref="D13">IFERROR(
    _xlfn.XLOOKUP(
        $A13,
        Table1[Location],
        INDEX(Table1[], , MATCH(D$1, Table1[#Headers], 0))
    ),
"")</f>
        <v>12839</v>
      </c>
      <c r="E13" s="28" cm="1">
        <f t="array" ref="E13">IFERROR(
    _xlfn.XLOOKUP(
        $A13,
        Table1[Location],
        INDEX(Table1[], , MATCH(E$1, Table1[#Headers], 0))
    ),
"")</f>
        <v>22201</v>
      </c>
      <c r="F13" s="28" cm="1">
        <f t="array" ref="F13">IFERROR(
    _xlfn.XLOOKUP(
        $A13,
        Table1[Location],
        INDEX(Table1[], , MATCH(F$1, Table1[#Headers], 0))
    ),
"")</f>
        <v>30720</v>
      </c>
      <c r="G13" s="28" cm="1">
        <f t="array" ref="G13">IFERROR(
    _xlfn.XLOOKUP(
        $A13,
        Table1[Location],
        INDEX(Table1[], , MATCH(G$1, Table1[#Headers], 0))
    ),
"")</f>
        <v>19852</v>
      </c>
      <c r="H13" s="28" cm="1">
        <f t="array" ref="H13">IFERROR(
    _xlfn.XLOOKUP(
        $A13,
        Table1[Location],
        INDEX(Table1[], , MATCH(H$1, Table1[#Headers], 0))
    ),
"")</f>
        <v>17948.711856000002</v>
      </c>
      <c r="I13" s="28" cm="1">
        <f t="array" ref="I13">IFERROR(
    _xlfn.XLOOKUP(
        $A13,
        Table1[Location],
        INDEX(Table1[], , MATCH(I$1, Table1[#Headers], 0))
    ),
"")</f>
        <v>27018.593142000002</v>
      </c>
      <c r="J13" s="28" cm="1">
        <f t="array" ref="J13">IFERROR(
    _xlfn.XLOOKUP(
        $A13,
        Table1[Location],
        INDEX(Table1[], , MATCH(J$1, Table1[#Headers], 0))
    ),
"")</f>
        <v>7016.8905290000002</v>
      </c>
      <c r="K13" s="28" cm="1">
        <f t="array" ref="K13">IFERROR(
    _xlfn.XLOOKUP(
        $A13,
        Table1[Location],
        INDEX(Table1[], , MATCH(K$1, Table1[#Headers], 0))
    ),
"")</f>
        <v>21226.739903999998</v>
      </c>
      <c r="L13" s="28" cm="1">
        <f t="array" ref="L13">IFERROR(
    _xlfn.XLOOKUP(
        $A13,
        Table1[Location],
        INDEX(Table1[], , MATCH(L$1, Table1[#Headers], 0))
    ),
"")</f>
        <v>12368.019935</v>
      </c>
      <c r="M13" s="28" cm="1">
        <f t="array" ref="M13">IFERROR(
    _xlfn.XLOOKUP(
        $A13,
        Table1[Location],
        INDEX(Table1[], , MATCH(M$1, Table1[#Headers], 0))
    ),
"")</f>
        <v>8512</v>
      </c>
      <c r="N13" s="28" cm="1">
        <f t="array" ref="N13">IFERROR(
    _xlfn.XLOOKUP(
        $A13,
        Table1[Location],
        INDEX(Table1[], , MATCH(N$1, Table1[#Headers], 0))
    ),
"")</f>
        <v>13797.883703</v>
      </c>
      <c r="O13" s="28">
        <f t="shared" si="1"/>
        <v>209372.83906899998</v>
      </c>
      <c r="Q13" s="28">
        <f t="shared" si="2"/>
        <v>158.72</v>
      </c>
      <c r="R13" s="28">
        <f t="shared" si="3"/>
        <v>128.39000000000001</v>
      </c>
      <c r="S13" s="28">
        <f t="shared" si="4"/>
        <v>222.01</v>
      </c>
      <c r="T13" s="28">
        <f t="shared" si="5"/>
        <v>307.2</v>
      </c>
      <c r="U13" s="28">
        <f t="shared" si="6"/>
        <v>198.52</v>
      </c>
      <c r="V13" s="28">
        <f t="shared" si="7"/>
        <v>179.48711856000003</v>
      </c>
      <c r="W13" s="28">
        <f t="shared" si="8"/>
        <v>270.18593142000003</v>
      </c>
      <c r="X13" s="28">
        <f t="shared" si="9"/>
        <v>70.168905289999998</v>
      </c>
      <c r="Y13" s="28">
        <f t="shared" si="10"/>
        <v>212.26739903999999</v>
      </c>
      <c r="Z13" s="28">
        <f t="shared" si="11"/>
        <v>123.68019935000001</v>
      </c>
      <c r="AA13" s="28">
        <f t="shared" si="12"/>
        <v>85.12</v>
      </c>
      <c r="AB13" s="28">
        <f t="shared" si="13"/>
        <v>137.97883702999999</v>
      </c>
      <c r="AC13" s="28">
        <f t="shared" si="14"/>
        <v>2093.7283906899997</v>
      </c>
    </row>
    <row r="14" spans="1:29" x14ac:dyDescent="0.3">
      <c r="A14" s="29" t="s">
        <v>71</v>
      </c>
      <c r="B14" s="32" t="str" cm="1">
        <f t="array" ref="B14">IFERROR(
    _xlfn.XLOOKUP(
        $A14,
        Table1[Location],
        INDEX(Table1[], , MATCH(B$1, Table1[#Headers], 0))
    ),
"")</f>
        <v>CO</v>
      </c>
      <c r="C14" s="28" cm="1">
        <f t="array" ref="C14">IFERROR(
    _xlfn.XLOOKUP(
        $A14,
        Table1[Location],
        INDEX(Table1[], , MATCH(C$1, Table1[#Headers], 0))
    ),
"")</f>
        <v>850</v>
      </c>
      <c r="D14" s="28" cm="1">
        <f t="array" ref="D14">IFERROR(
    _xlfn.XLOOKUP(
        $A14,
        Table1[Location],
        INDEX(Table1[], , MATCH(D$1, Table1[#Headers], 0))
    ),
"")</f>
        <v>0</v>
      </c>
      <c r="E14" s="28" cm="1">
        <f t="array" ref="E14">IFERROR(
    _xlfn.XLOOKUP(
        $A14,
        Table1[Location],
        INDEX(Table1[], , MATCH(E$1, Table1[#Headers], 0))
    ),
"")</f>
        <v>1212</v>
      </c>
      <c r="F14" s="28" cm="1">
        <f t="array" ref="F14">IFERROR(
    _xlfn.XLOOKUP(
        $A14,
        Table1[Location],
        INDEX(Table1[], , MATCH(F$1, Table1[#Headers], 0))
    ),
"")</f>
        <v>176</v>
      </c>
      <c r="G14" s="28" cm="1">
        <f t="array" ref="G14">IFERROR(
    _xlfn.XLOOKUP(
        $A14,
        Table1[Location],
        INDEX(Table1[], , MATCH(G$1, Table1[#Headers], 0))
    ),
"")</f>
        <v>850</v>
      </c>
      <c r="H14" s="28" cm="1">
        <f t="array" ref="H14">IFERROR(
    _xlfn.XLOOKUP(
        $A14,
        Table1[Location],
        INDEX(Table1[], , MATCH(H$1, Table1[#Headers], 0))
    ),
"")</f>
        <v>15700</v>
      </c>
      <c r="I14" s="28" cm="1">
        <f t="array" ref="I14">IFERROR(
    _xlfn.XLOOKUP(
        $A14,
        Table1[Location],
        INDEX(Table1[], , MATCH(I$1, Table1[#Headers], 0))
    ),
"")</f>
        <v>8704</v>
      </c>
      <c r="J14" s="28" cm="1">
        <f t="array" ref="J14">IFERROR(
    _xlfn.XLOOKUP(
        $A14,
        Table1[Location],
        INDEX(Table1[], , MATCH(J$1, Table1[#Headers], 0))
    ),
"")</f>
        <v>16285</v>
      </c>
      <c r="K14" s="28" cm="1">
        <f t="array" ref="K14">IFERROR(
    _xlfn.XLOOKUP(
        $A14,
        Table1[Location],
        INDEX(Table1[], , MATCH(K$1, Table1[#Headers], 0))
    ),
"")</f>
        <v>7262</v>
      </c>
      <c r="L14" s="28" cm="1">
        <f t="array" ref="L14">IFERROR(
    _xlfn.XLOOKUP(
        $A14,
        Table1[Location],
        INDEX(Table1[], , MATCH(L$1, Table1[#Headers], 0))
    ),
"")</f>
        <v>5380</v>
      </c>
      <c r="M14" s="28" cm="1">
        <f t="array" ref="M14">IFERROR(
    _xlfn.XLOOKUP(
        $A14,
        Table1[Location],
        INDEX(Table1[], , MATCH(M$1, Table1[#Headers], 0))
    ),
"")</f>
        <v>5540.4707189999999</v>
      </c>
      <c r="N14" s="28" cm="1">
        <f t="array" ref="N14">IFERROR(
    _xlfn.XLOOKUP(
        $A14,
        Table1[Location],
        INDEX(Table1[], , MATCH(N$1, Table1[#Headers], 0))
    ),
"")</f>
        <v>0</v>
      </c>
      <c r="O14" s="28">
        <f t="shared" si="1"/>
        <v>61959.470718999997</v>
      </c>
      <c r="Q14" s="28">
        <f t="shared" si="2"/>
        <v>8.5</v>
      </c>
      <c r="R14" s="28">
        <f t="shared" si="3"/>
        <v>0</v>
      </c>
      <c r="S14" s="28">
        <f t="shared" si="4"/>
        <v>12.120000000000001</v>
      </c>
      <c r="T14" s="28">
        <f t="shared" si="5"/>
        <v>1.76</v>
      </c>
      <c r="U14" s="28">
        <f t="shared" si="6"/>
        <v>8.5</v>
      </c>
      <c r="V14" s="28">
        <f t="shared" si="7"/>
        <v>157</v>
      </c>
      <c r="W14" s="28">
        <f t="shared" si="8"/>
        <v>87.04</v>
      </c>
      <c r="X14" s="28">
        <f t="shared" si="9"/>
        <v>162.85</v>
      </c>
      <c r="Y14" s="28">
        <f t="shared" si="10"/>
        <v>72.62</v>
      </c>
      <c r="Z14" s="28">
        <f t="shared" si="11"/>
        <v>53.800000000000004</v>
      </c>
      <c r="AA14" s="28">
        <f t="shared" si="12"/>
        <v>55.404707190000003</v>
      </c>
      <c r="AB14" s="28">
        <f t="shared" si="13"/>
        <v>0</v>
      </c>
      <c r="AC14" s="28">
        <f t="shared" si="14"/>
        <v>619.59470718999989</v>
      </c>
    </row>
    <row r="15" spans="1:29" x14ac:dyDescent="0.3">
      <c r="A15" s="31" t="s">
        <v>231</v>
      </c>
      <c r="B15" s="32" t="str" cm="1">
        <f t="array" ref="B15">IFERROR(
    _xlfn.XLOOKUP(
        $A15,
        Table1[Location],
        INDEX(Table1[], , MATCH(B$1, Table1[#Headers], 0))
    ),
"")</f>
        <v>CO</v>
      </c>
      <c r="C15" s="28" cm="1">
        <f t="array" ref="C15">IFERROR(
    _xlfn.XLOOKUP(
        $A15,
        Table1[Location],
        INDEX(Table1[], , MATCH(C$1, Table1[#Headers], 0))
    ),
"")</f>
        <v>6212</v>
      </c>
      <c r="D15" s="28" cm="1">
        <f t="array" ref="D15">IFERROR(
    _xlfn.XLOOKUP(
        $A15,
        Table1[Location],
        INDEX(Table1[], , MATCH(D$1, Table1[#Headers], 0))
    ),
"")</f>
        <v>415</v>
      </c>
      <c r="E15" s="28" cm="1">
        <f t="array" ref="E15">IFERROR(
    _xlfn.XLOOKUP(
        $A15,
        Table1[Location],
        INDEX(Table1[], , MATCH(E$1, Table1[#Headers], 0))
    ),
"")</f>
        <v>11470</v>
      </c>
      <c r="F15" s="28" cm="1">
        <f t="array" ref="F15">IFERROR(
    _xlfn.XLOOKUP(
        $A15,
        Table1[Location],
        INDEX(Table1[], , MATCH(F$1, Table1[#Headers], 0))
    ),
"")</f>
        <v>30071</v>
      </c>
      <c r="G15" s="28" cm="1">
        <f t="array" ref="G15">IFERROR(
    _xlfn.XLOOKUP(
        $A15,
        Table1[Location],
        INDEX(Table1[], , MATCH(G$1, Table1[#Headers], 0))
    ),
"")</f>
        <v>45728</v>
      </c>
      <c r="H15" s="28" cm="1">
        <f t="array" ref="H15">IFERROR(
    _xlfn.XLOOKUP(
        $A15,
        Table1[Location],
        INDEX(Table1[], , MATCH(H$1, Table1[#Headers], 0))
    ),
"")</f>
        <v>56475</v>
      </c>
      <c r="I15" s="28" cm="1">
        <f t="array" ref="I15">IFERROR(
    _xlfn.XLOOKUP(
        $A15,
        Table1[Location],
        INDEX(Table1[], , MATCH(I$1, Table1[#Headers], 0))
    ),
"")</f>
        <v>68528</v>
      </c>
      <c r="J15" s="28" cm="1">
        <f t="array" ref="J15">IFERROR(
    _xlfn.XLOOKUP(
        $A15,
        Table1[Location],
        INDEX(Table1[], , MATCH(J$1, Table1[#Headers], 0))
    ),
"")</f>
        <v>92184</v>
      </c>
      <c r="K15" s="28" cm="1">
        <f t="array" ref="K15">IFERROR(
    _xlfn.XLOOKUP(
        $A15,
        Table1[Location],
        INDEX(Table1[], , MATCH(K$1, Table1[#Headers], 0))
    ),
"")</f>
        <v>69497</v>
      </c>
      <c r="L15" s="28" cm="1">
        <f t="array" ref="L15">IFERROR(
    _xlfn.XLOOKUP(
        $A15,
        Table1[Location],
        INDEX(Table1[], , MATCH(L$1, Table1[#Headers], 0))
    ),
"")</f>
        <v>84239</v>
      </c>
      <c r="M15" s="28" cm="1">
        <f t="array" ref="M15">IFERROR(
    _xlfn.XLOOKUP(
        $A15,
        Table1[Location],
        INDEX(Table1[], , MATCH(M$1, Table1[#Headers], 0))
    ),
"")</f>
        <v>52679</v>
      </c>
      <c r="N15" s="28" cm="1">
        <f t="array" ref="N15">IFERROR(
    _xlfn.XLOOKUP(
        $A15,
        Table1[Location],
        INDEX(Table1[], , MATCH(N$1, Table1[#Headers], 0))
    ),
"")</f>
        <v>6468.8715868000008</v>
      </c>
      <c r="O15" s="28">
        <f t="shared" si="1"/>
        <v>523966.87158680003</v>
      </c>
      <c r="Q15" s="28">
        <f t="shared" si="2"/>
        <v>62.120000000000005</v>
      </c>
      <c r="R15" s="28">
        <f t="shared" si="3"/>
        <v>4.1500000000000004</v>
      </c>
      <c r="S15" s="28">
        <f t="shared" si="4"/>
        <v>114.7</v>
      </c>
      <c r="T15" s="28">
        <f t="shared" si="5"/>
        <v>300.70999999999998</v>
      </c>
      <c r="U15" s="28">
        <f t="shared" si="6"/>
        <v>457.28000000000003</v>
      </c>
      <c r="V15" s="28">
        <f t="shared" si="7"/>
        <v>564.75</v>
      </c>
      <c r="W15" s="28">
        <f t="shared" si="8"/>
        <v>685.28</v>
      </c>
      <c r="X15" s="28">
        <f t="shared" si="9"/>
        <v>921.84</v>
      </c>
      <c r="Y15" s="28">
        <f t="shared" si="10"/>
        <v>694.97</v>
      </c>
      <c r="Z15" s="28">
        <f t="shared" si="11"/>
        <v>842.39</v>
      </c>
      <c r="AA15" s="28">
        <f t="shared" si="12"/>
        <v>526.79</v>
      </c>
      <c r="AB15" s="28">
        <f t="shared" si="13"/>
        <v>64.688715868000003</v>
      </c>
      <c r="AC15" s="28">
        <f t="shared" si="14"/>
        <v>5239.6687158680006</v>
      </c>
    </row>
    <row r="16" spans="1:29" x14ac:dyDescent="0.3">
      <c r="A16" s="29" t="s">
        <v>74</v>
      </c>
      <c r="B16" s="32" t="str" cm="1">
        <f t="array" ref="B16">IFERROR(
    _xlfn.XLOOKUP(
        $A16,
        Table1[Location],
        INDEX(Table1[], , MATCH(B$1, Table1[#Headers], 0))
    ),
"")</f>
        <v>DE</v>
      </c>
      <c r="C16" s="28" cm="1">
        <f t="array" ref="C16">IFERROR(
    _xlfn.XLOOKUP(
        $A16,
        Table1[Location],
        INDEX(Table1[], , MATCH(C$1, Table1[#Headers], 0))
    ),
"")</f>
        <v>0</v>
      </c>
      <c r="D16" s="28" cm="1">
        <f t="array" ref="D16">IFERROR(
    _xlfn.XLOOKUP(
        $A16,
        Table1[Location],
        INDEX(Table1[], , MATCH(D$1, Table1[#Headers], 0))
    ),
"")</f>
        <v>1525.6656459999999</v>
      </c>
      <c r="E16" s="28" cm="1">
        <f t="array" ref="E16">IFERROR(
    _xlfn.XLOOKUP(
        $A16,
        Table1[Location],
        INDEX(Table1[], , MATCH(E$1, Table1[#Headers], 0))
    ),
"")</f>
        <v>4934</v>
      </c>
      <c r="F16" s="28" cm="1">
        <f t="array" ref="F16">IFERROR(
    _xlfn.XLOOKUP(
        $A16,
        Table1[Location],
        INDEX(Table1[], , MATCH(F$1, Table1[#Headers], 0))
    ),
"")</f>
        <v>20729</v>
      </c>
      <c r="G16" s="28" cm="1">
        <f t="array" ref="G16">IFERROR(
    _xlfn.XLOOKUP(
        $A16,
        Table1[Location],
        INDEX(Table1[], , MATCH(G$1, Table1[#Headers], 0))
    ),
"")</f>
        <v>31723</v>
      </c>
      <c r="H16" s="28" cm="1">
        <f t="array" ref="H16">IFERROR(
    _xlfn.XLOOKUP(
        $A16,
        Table1[Location],
        INDEX(Table1[], , MATCH(H$1, Table1[#Headers], 0))
    ),
"")</f>
        <v>68863</v>
      </c>
      <c r="I16" s="28" cm="1">
        <f t="array" ref="I16">IFERROR(
    _xlfn.XLOOKUP(
        $A16,
        Table1[Location],
        INDEX(Table1[], , MATCH(I$1, Table1[#Headers], 0))
    ),
"")</f>
        <v>55663</v>
      </c>
      <c r="J16" s="28" cm="1">
        <f t="array" ref="J16">IFERROR(
    _xlfn.XLOOKUP(
        $A16,
        Table1[Location],
        INDEX(Table1[], , MATCH(J$1, Table1[#Headers], 0))
    ),
"")</f>
        <v>24186</v>
      </c>
      <c r="K16" s="28" cm="1">
        <f t="array" ref="K16">IFERROR(
    _xlfn.XLOOKUP(
        $A16,
        Table1[Location],
        INDEX(Table1[], , MATCH(K$1, Table1[#Headers], 0))
    ),
"")</f>
        <v>39381</v>
      </c>
      <c r="L16" s="28" cm="1">
        <f t="array" ref="L16">IFERROR(
    _xlfn.XLOOKUP(
        $A16,
        Table1[Location],
        INDEX(Table1[], , MATCH(L$1, Table1[#Headers], 0))
    ),
"")</f>
        <v>12318</v>
      </c>
      <c r="M16" s="28" cm="1">
        <f t="array" ref="M16">IFERROR(
    _xlfn.XLOOKUP(
        $A16,
        Table1[Location],
        INDEX(Table1[], , MATCH(M$1, Table1[#Headers], 0))
    ),
"")</f>
        <v>8768</v>
      </c>
      <c r="N16" s="28" cm="1">
        <f t="array" ref="N16">IFERROR(
    _xlfn.XLOOKUP(
        $A16,
        Table1[Location],
        INDEX(Table1[], , MATCH(N$1, Table1[#Headers], 0))
    ),
"")</f>
        <v>8265.4572250000001</v>
      </c>
      <c r="O16" s="28">
        <f t="shared" si="1"/>
        <v>276356.12287100003</v>
      </c>
      <c r="Q16" s="28">
        <f t="shared" si="2"/>
        <v>0</v>
      </c>
      <c r="R16" s="28">
        <f t="shared" si="3"/>
        <v>15.25665646</v>
      </c>
      <c r="S16" s="28">
        <f t="shared" si="4"/>
        <v>49.34</v>
      </c>
      <c r="T16" s="28">
        <f t="shared" si="5"/>
        <v>207.29</v>
      </c>
      <c r="U16" s="28">
        <f t="shared" si="6"/>
        <v>317.23</v>
      </c>
      <c r="V16" s="28">
        <f t="shared" si="7"/>
        <v>688.63</v>
      </c>
      <c r="W16" s="28">
        <f t="shared" si="8"/>
        <v>556.63</v>
      </c>
      <c r="X16" s="28">
        <f t="shared" si="9"/>
        <v>241.86</v>
      </c>
      <c r="Y16" s="28">
        <f t="shared" si="10"/>
        <v>393.81</v>
      </c>
      <c r="Z16" s="28">
        <f t="shared" si="11"/>
        <v>123.18</v>
      </c>
      <c r="AA16" s="28">
        <f t="shared" si="12"/>
        <v>87.68</v>
      </c>
      <c r="AB16" s="28">
        <f t="shared" si="13"/>
        <v>82.654572250000001</v>
      </c>
      <c r="AC16" s="28">
        <f t="shared" si="14"/>
        <v>2763.5612287099998</v>
      </c>
    </row>
    <row r="17" spans="1:29" x14ac:dyDescent="0.3">
      <c r="A17" s="31" t="s">
        <v>76</v>
      </c>
      <c r="B17" s="32" t="str" cm="1">
        <f t="array" ref="B17">IFERROR(
    _xlfn.XLOOKUP(
        $A17,
        Table1[Location],
        INDEX(Table1[], , MATCH(B$1, Table1[#Headers], 0))
    ),
"")</f>
        <v>FL</v>
      </c>
      <c r="C17" s="28" cm="1">
        <f t="array" ref="C17">IFERROR(
    _xlfn.XLOOKUP(
        $A17,
        Table1[Location],
        INDEX(Table1[], , MATCH(C$1, Table1[#Headers], 0))
    ),
"")</f>
        <v>113721</v>
      </c>
      <c r="D17" s="28" cm="1">
        <f t="array" ref="D17">IFERROR(
    _xlfn.XLOOKUP(
        $A17,
        Table1[Location],
        INDEX(Table1[], , MATCH(D$1, Table1[#Headers], 0))
    ),
"")</f>
        <v>165055</v>
      </c>
      <c r="E17" s="28" cm="1">
        <f t="array" ref="E17">IFERROR(
    _xlfn.XLOOKUP(
        $A17,
        Table1[Location],
        INDEX(Table1[], , MATCH(E$1, Table1[#Headers], 0))
    ),
"")</f>
        <v>45794</v>
      </c>
      <c r="F17" s="28" cm="1">
        <f t="array" ref="F17">IFERROR(
    _xlfn.XLOOKUP(
        $A17,
        Table1[Location],
        INDEX(Table1[], , MATCH(F$1, Table1[#Headers], 0))
    ),
"")</f>
        <v>150484</v>
      </c>
      <c r="G17" s="28" cm="1">
        <f t="array" ref="G17">IFERROR(
    _xlfn.XLOOKUP(
        $A17,
        Table1[Location],
        INDEX(Table1[], , MATCH(G$1, Table1[#Headers], 0))
    ),
"")</f>
        <v>142049</v>
      </c>
      <c r="H17" s="28" cm="1">
        <f t="array" ref="H17">IFERROR(
    _xlfn.XLOOKUP(
        $A17,
        Table1[Location],
        INDEX(Table1[], , MATCH(H$1, Table1[#Headers], 0))
    ),
"")</f>
        <v>167194</v>
      </c>
      <c r="I17" s="28" cm="1">
        <f t="array" ref="I17">IFERROR(
    _xlfn.XLOOKUP(
        $A17,
        Table1[Location],
        INDEX(Table1[], , MATCH(I$1, Table1[#Headers], 0))
    ),
"")</f>
        <v>150172</v>
      </c>
      <c r="J17" s="28" cm="1">
        <f t="array" ref="J17">IFERROR(
    _xlfn.XLOOKUP(
        $A17,
        Table1[Location],
        INDEX(Table1[], , MATCH(J$1, Table1[#Headers], 0))
    ),
"")</f>
        <v>144215</v>
      </c>
      <c r="K17" s="28" cm="1">
        <f t="array" ref="K17">IFERROR(
    _xlfn.XLOOKUP(
        $A17,
        Table1[Location],
        INDEX(Table1[], , MATCH(K$1, Table1[#Headers], 0))
    ),
"")</f>
        <v>153974</v>
      </c>
      <c r="L17" s="28" cm="1">
        <f t="array" ref="L17">IFERROR(
    _xlfn.XLOOKUP(
        $A17,
        Table1[Location],
        INDEX(Table1[], , MATCH(L$1, Table1[#Headers], 0))
    ),
"")</f>
        <v>125921</v>
      </c>
      <c r="M17" s="28" cm="1">
        <f t="array" ref="M17">IFERROR(
    _xlfn.XLOOKUP(
        $A17,
        Table1[Location],
        INDEX(Table1[], , MATCH(M$1, Table1[#Headers], 0))
    ),
"")</f>
        <v>86628</v>
      </c>
      <c r="N17" s="28" cm="1">
        <f t="array" ref="N17">IFERROR(
    _xlfn.XLOOKUP(
        $A17,
        Table1[Location],
        INDEX(Table1[], , MATCH(N$1, Table1[#Headers], 0))
    ),
"")</f>
        <v>77833</v>
      </c>
      <c r="O17" s="28">
        <f t="shared" si="1"/>
        <v>1523040</v>
      </c>
      <c r="Q17" s="28">
        <f t="shared" si="2"/>
        <v>1137.21</v>
      </c>
      <c r="R17" s="28">
        <f t="shared" si="3"/>
        <v>1650.55</v>
      </c>
      <c r="S17" s="28">
        <f t="shared" si="4"/>
        <v>457.94</v>
      </c>
      <c r="T17" s="28">
        <f t="shared" si="5"/>
        <v>1504.84</v>
      </c>
      <c r="U17" s="28">
        <f t="shared" si="6"/>
        <v>1420.49</v>
      </c>
      <c r="V17" s="28">
        <f t="shared" si="7"/>
        <v>1671.94</v>
      </c>
      <c r="W17" s="28">
        <f t="shared" si="8"/>
        <v>1501.72</v>
      </c>
      <c r="X17" s="28">
        <f t="shared" si="9"/>
        <v>1442.15</v>
      </c>
      <c r="Y17" s="28">
        <f t="shared" si="10"/>
        <v>1539.74</v>
      </c>
      <c r="Z17" s="28">
        <f t="shared" si="11"/>
        <v>1259.21</v>
      </c>
      <c r="AA17" s="28">
        <f t="shared" si="12"/>
        <v>866.28</v>
      </c>
      <c r="AB17" s="28">
        <f t="shared" si="13"/>
        <v>778.33</v>
      </c>
      <c r="AC17" s="28">
        <f t="shared" si="14"/>
        <v>15230.399999999998</v>
      </c>
    </row>
    <row r="18" spans="1:29" x14ac:dyDescent="0.3">
      <c r="A18" s="29" t="s">
        <v>78</v>
      </c>
      <c r="B18" s="32" t="str" cm="1">
        <f t="array" ref="B18">IFERROR(
    _xlfn.XLOOKUP(
        $A18,
        Table1[Location],
        INDEX(Table1[], , MATCH(B$1, Table1[#Headers], 0))
    ),
"")</f>
        <v>FL</v>
      </c>
      <c r="C18" s="28" cm="1">
        <f t="array" ref="C18">IFERROR(
    _xlfn.XLOOKUP(
        $A18,
        Table1[Location],
        INDEX(Table1[], , MATCH(C$1, Table1[#Headers], 0))
    ),
"")</f>
        <v>33635</v>
      </c>
      <c r="D18" s="28" cm="1">
        <f t="array" ref="D18">IFERROR(
    _xlfn.XLOOKUP(
        $A18,
        Table1[Location],
        INDEX(Table1[], , MATCH(D$1, Table1[#Headers], 0))
    ),
"")</f>
        <v>13601</v>
      </c>
      <c r="E18" s="28" cm="1">
        <f t="array" ref="E18">IFERROR(
    _xlfn.XLOOKUP(
        $A18,
        Table1[Location],
        INDEX(Table1[], , MATCH(E$1, Table1[#Headers], 0))
    ),
"")</f>
        <v>80218</v>
      </c>
      <c r="F18" s="28" cm="1">
        <f t="array" ref="F18">IFERROR(
    _xlfn.XLOOKUP(
        $A18,
        Table1[Location],
        INDEX(Table1[], , MATCH(F$1, Table1[#Headers], 0))
    ),
"")</f>
        <v>56553</v>
      </c>
      <c r="G18" s="28" cm="1">
        <f t="array" ref="G18">IFERROR(
    _xlfn.XLOOKUP(
        $A18,
        Table1[Location],
        INDEX(Table1[], , MATCH(G$1, Table1[#Headers], 0))
    ),
"")</f>
        <v>43583</v>
      </c>
      <c r="H18" s="28" cm="1">
        <f t="array" ref="H18">IFERROR(
    _xlfn.XLOOKUP(
        $A18,
        Table1[Location],
        INDEX(Table1[], , MATCH(H$1, Table1[#Headers], 0))
    ),
"")</f>
        <v>30413</v>
      </c>
      <c r="I18" s="28" cm="1">
        <f t="array" ref="I18">IFERROR(
    _xlfn.XLOOKUP(
        $A18,
        Table1[Location],
        INDEX(Table1[], , MATCH(I$1, Table1[#Headers], 0))
    ),
"")</f>
        <v>108300</v>
      </c>
      <c r="J18" s="28" cm="1">
        <f t="array" ref="J18">IFERROR(
    _xlfn.XLOOKUP(
        $A18,
        Table1[Location],
        INDEX(Table1[], , MATCH(J$1, Table1[#Headers], 0))
    ),
"")</f>
        <v>31169</v>
      </c>
      <c r="K18" s="28" cm="1">
        <f t="array" ref="K18">IFERROR(
    _xlfn.XLOOKUP(
        $A18,
        Table1[Location],
        INDEX(Table1[], , MATCH(K$1, Table1[#Headers], 0))
    ),
"")</f>
        <v>109618</v>
      </c>
      <c r="L18" s="28" cm="1">
        <f t="array" ref="L18">IFERROR(
    _xlfn.XLOOKUP(
        $A18,
        Table1[Location],
        INDEX(Table1[], , MATCH(L$1, Table1[#Headers], 0))
    ),
"")</f>
        <v>61848</v>
      </c>
      <c r="M18" s="28" cm="1">
        <f t="array" ref="M18">IFERROR(
    _xlfn.XLOOKUP(
        $A18,
        Table1[Location],
        INDEX(Table1[], , MATCH(M$1, Table1[#Headers], 0))
    ),
"")</f>
        <v>10112</v>
      </c>
      <c r="N18" s="28" cm="1">
        <f t="array" ref="N18">IFERROR(
    _xlfn.XLOOKUP(
        $A18,
        Table1[Location],
        INDEX(Table1[], , MATCH(N$1, Table1[#Headers], 0))
    ),
"")</f>
        <v>30802</v>
      </c>
      <c r="O18" s="28">
        <f t="shared" si="1"/>
        <v>609852</v>
      </c>
      <c r="Q18" s="28">
        <f t="shared" si="2"/>
        <v>336.35</v>
      </c>
      <c r="R18" s="28">
        <f t="shared" si="3"/>
        <v>136.01</v>
      </c>
      <c r="S18" s="28">
        <f t="shared" si="4"/>
        <v>802.18000000000006</v>
      </c>
      <c r="T18" s="28">
        <f t="shared" si="5"/>
        <v>565.53</v>
      </c>
      <c r="U18" s="28">
        <f t="shared" si="6"/>
        <v>435.83</v>
      </c>
      <c r="V18" s="28">
        <f t="shared" si="7"/>
        <v>304.13</v>
      </c>
      <c r="W18" s="28">
        <f t="shared" si="8"/>
        <v>1083</v>
      </c>
      <c r="X18" s="28">
        <f t="shared" si="9"/>
        <v>311.69</v>
      </c>
      <c r="Y18" s="28">
        <f t="shared" si="10"/>
        <v>1096.18</v>
      </c>
      <c r="Z18" s="28">
        <f t="shared" si="11"/>
        <v>618.48</v>
      </c>
      <c r="AA18" s="28">
        <f t="shared" si="12"/>
        <v>101.12</v>
      </c>
      <c r="AB18" s="28">
        <f t="shared" si="13"/>
        <v>308.02</v>
      </c>
      <c r="AC18" s="28">
        <f t="shared" si="14"/>
        <v>6098.52</v>
      </c>
    </row>
    <row r="19" spans="1:29" x14ac:dyDescent="0.3">
      <c r="A19" s="31" t="s">
        <v>79</v>
      </c>
      <c r="B19" s="32" t="str" cm="1">
        <f t="array" ref="B19">IFERROR(
    _xlfn.XLOOKUP(
        $A19,
        Table1[Location],
        INDEX(Table1[], , MATCH(B$1, Table1[#Headers], 0))
    ),
"")</f>
        <v>FL</v>
      </c>
      <c r="C19" s="28" cm="1">
        <f t="array" ref="C19">IFERROR(
    _xlfn.XLOOKUP(
        $A19,
        Table1[Location],
        INDEX(Table1[], , MATCH(C$1, Table1[#Headers], 0))
    ),
"")</f>
        <v>85537.527526999998</v>
      </c>
      <c r="D19" s="28" cm="1">
        <f t="array" ref="D19">IFERROR(
    _xlfn.XLOOKUP(
        $A19,
        Table1[Location],
        INDEX(Table1[], , MATCH(D$1, Table1[#Headers], 0))
    ),
"")</f>
        <v>84678</v>
      </c>
      <c r="E19" s="28" cm="1">
        <f t="array" ref="E19">IFERROR(
    _xlfn.XLOOKUP(
        $A19,
        Table1[Location],
        INDEX(Table1[], , MATCH(E$1, Table1[#Headers], 0))
    ),
"")</f>
        <v>85752</v>
      </c>
      <c r="F19" s="28" cm="1">
        <f t="array" ref="F19">IFERROR(
    _xlfn.XLOOKUP(
        $A19,
        Table1[Location],
        INDEX(Table1[], , MATCH(F$1, Table1[#Headers], 0))
    ),
"")</f>
        <v>135270</v>
      </c>
      <c r="G19" s="28" cm="1">
        <f t="array" ref="G19">IFERROR(
    _xlfn.XLOOKUP(
        $A19,
        Table1[Location],
        INDEX(Table1[], , MATCH(G$1, Table1[#Headers], 0))
    ),
"")</f>
        <v>69885</v>
      </c>
      <c r="H19" s="28" cm="1">
        <f t="array" ref="H19">IFERROR(
    _xlfn.XLOOKUP(
        $A19,
        Table1[Location],
        INDEX(Table1[], , MATCH(H$1, Table1[#Headers], 0))
    ),
"")</f>
        <v>132471</v>
      </c>
      <c r="I19" s="28" cm="1">
        <f t="array" ref="I19">IFERROR(
    _xlfn.XLOOKUP(
        $A19,
        Table1[Location],
        INDEX(Table1[], , MATCH(I$1, Table1[#Headers], 0))
    ),
"")</f>
        <v>194226</v>
      </c>
      <c r="J19" s="28" cm="1">
        <f t="array" ref="J19">IFERROR(
    _xlfn.XLOOKUP(
        $A19,
        Table1[Location],
        INDEX(Table1[], , MATCH(J$1, Table1[#Headers], 0))
    ),
"")</f>
        <v>175362</v>
      </c>
      <c r="K19" s="28" cm="1">
        <f t="array" ref="K19">IFERROR(
    _xlfn.XLOOKUP(
        $A19,
        Table1[Location],
        INDEX(Table1[], , MATCH(K$1, Table1[#Headers], 0))
    ),
"")</f>
        <v>175119</v>
      </c>
      <c r="L19" s="28" cm="1">
        <f t="array" ref="L19">IFERROR(
    _xlfn.XLOOKUP(
        $A19,
        Table1[Location],
        INDEX(Table1[], , MATCH(L$1, Table1[#Headers], 0))
    ),
"")</f>
        <v>142038</v>
      </c>
      <c r="M19" s="28" cm="1">
        <f t="array" ref="M19">IFERROR(
    _xlfn.XLOOKUP(
        $A19,
        Table1[Location],
        INDEX(Table1[], , MATCH(M$1, Table1[#Headers], 0))
    ),
"")</f>
        <v>117152</v>
      </c>
      <c r="N19" s="28" cm="1">
        <f t="array" ref="N19">IFERROR(
    _xlfn.XLOOKUP(
        $A19,
        Table1[Location],
        INDEX(Table1[], , MATCH(N$1, Table1[#Headers], 0))
    ),
"")</f>
        <v>110363</v>
      </c>
      <c r="O19" s="28">
        <f t="shared" si="1"/>
        <v>1507853.5275270001</v>
      </c>
      <c r="Q19" s="28">
        <f t="shared" si="2"/>
        <v>855.37527526999997</v>
      </c>
      <c r="R19" s="28">
        <f t="shared" si="3"/>
        <v>846.78</v>
      </c>
      <c r="S19" s="28">
        <f t="shared" si="4"/>
        <v>857.52</v>
      </c>
      <c r="T19" s="28">
        <f t="shared" si="5"/>
        <v>1352.7</v>
      </c>
      <c r="U19" s="28">
        <f t="shared" si="6"/>
        <v>698.85</v>
      </c>
      <c r="V19" s="28">
        <f t="shared" si="7"/>
        <v>1324.71</v>
      </c>
      <c r="W19" s="28">
        <f t="shared" si="8"/>
        <v>1942.26</v>
      </c>
      <c r="X19" s="28">
        <f t="shared" si="9"/>
        <v>1753.6200000000001</v>
      </c>
      <c r="Y19" s="28">
        <f t="shared" si="10"/>
        <v>1751.19</v>
      </c>
      <c r="Z19" s="28">
        <f t="shared" si="11"/>
        <v>1420.38</v>
      </c>
      <c r="AA19" s="28">
        <f t="shared" si="12"/>
        <v>1171.52</v>
      </c>
      <c r="AB19" s="28">
        <f t="shared" si="13"/>
        <v>1103.6300000000001</v>
      </c>
      <c r="AC19" s="28">
        <f t="shared" si="14"/>
        <v>15078.535275270002</v>
      </c>
    </row>
    <row r="20" spans="1:29" x14ac:dyDescent="0.3">
      <c r="A20" s="29" t="s">
        <v>80</v>
      </c>
      <c r="B20" s="32" t="str" cm="1">
        <f t="array" ref="B20">IFERROR(
    _xlfn.XLOOKUP(
        $A20,
        Table1[Location],
        INDEX(Table1[], , MATCH(B$1, Table1[#Headers], 0))
    ),
"")</f>
        <v>FL</v>
      </c>
      <c r="C20" s="28" cm="1">
        <f t="array" ref="C20">IFERROR(
    _xlfn.XLOOKUP(
        $A20,
        Table1[Location],
        INDEX(Table1[], , MATCH(C$1, Table1[#Headers], 0))
    ),
"")</f>
        <v>13508</v>
      </c>
      <c r="D20" s="28" cm="1">
        <f t="array" ref="D20">IFERROR(
    _xlfn.XLOOKUP(
        $A20,
        Table1[Location],
        INDEX(Table1[], , MATCH(D$1, Table1[#Headers], 0))
    ),
"")</f>
        <v>18776</v>
      </c>
      <c r="E20" s="28" cm="1">
        <f t="array" ref="E20">IFERROR(
    _xlfn.XLOOKUP(
        $A20,
        Table1[Location],
        INDEX(Table1[], , MATCH(E$1, Table1[#Headers], 0))
    ),
"")</f>
        <v>18324</v>
      </c>
      <c r="F20" s="28" cm="1">
        <f t="array" ref="F20">IFERROR(
    _xlfn.XLOOKUP(
        $A20,
        Table1[Location],
        INDEX(Table1[], , MATCH(F$1, Table1[#Headers], 0))
    ),
"")</f>
        <v>25329</v>
      </c>
      <c r="G20" s="28" cm="1">
        <f t="array" ref="G20">IFERROR(
    _xlfn.XLOOKUP(
        $A20,
        Table1[Location],
        INDEX(Table1[], , MATCH(G$1, Table1[#Headers], 0))
    ),
"")</f>
        <v>23548</v>
      </c>
      <c r="H20" s="28" cm="1">
        <f t="array" ref="H20">IFERROR(
    _xlfn.XLOOKUP(
        $A20,
        Table1[Location],
        INDEX(Table1[], , MATCH(H$1, Table1[#Headers], 0))
    ),
"")</f>
        <v>32148</v>
      </c>
      <c r="I20" s="28" cm="1">
        <f t="array" ref="I20">IFERROR(
    _xlfn.XLOOKUP(
        $A20,
        Table1[Location],
        INDEX(Table1[], , MATCH(I$1, Table1[#Headers], 0))
    ),
"")</f>
        <v>22476</v>
      </c>
      <c r="J20" s="28" cm="1">
        <f t="array" ref="J20">IFERROR(
    _xlfn.XLOOKUP(
        $A20,
        Table1[Location],
        INDEX(Table1[], , MATCH(J$1, Table1[#Headers], 0))
    ),
"")</f>
        <v>21632</v>
      </c>
      <c r="K20" s="28" cm="1">
        <f t="array" ref="K20">IFERROR(
    _xlfn.XLOOKUP(
        $A20,
        Table1[Location],
        INDEX(Table1[], , MATCH(K$1, Table1[#Headers], 0))
    ),
"")</f>
        <v>28320</v>
      </c>
      <c r="L20" s="28" cm="1">
        <f t="array" ref="L20">IFERROR(
    _xlfn.XLOOKUP(
        $A20,
        Table1[Location],
        INDEX(Table1[], , MATCH(L$1, Table1[#Headers], 0))
    ),
"")</f>
        <v>17849</v>
      </c>
      <c r="M20" s="28" cm="1">
        <f t="array" ref="M20">IFERROR(
    _xlfn.XLOOKUP(
        $A20,
        Table1[Location],
        INDEX(Table1[], , MATCH(M$1, Table1[#Headers], 0))
    ),
"")</f>
        <v>23605</v>
      </c>
      <c r="N20" s="28" cm="1">
        <f t="array" ref="N20">IFERROR(
    _xlfn.XLOOKUP(
        $A20,
        Table1[Location],
        INDEX(Table1[], , MATCH(N$1, Table1[#Headers], 0))
    ),
"")</f>
        <v>18240</v>
      </c>
      <c r="O20" s="28">
        <f t="shared" si="1"/>
        <v>263755</v>
      </c>
      <c r="Q20" s="28">
        <f t="shared" si="2"/>
        <v>135.08000000000001</v>
      </c>
      <c r="R20" s="28">
        <f t="shared" si="3"/>
        <v>187.76</v>
      </c>
      <c r="S20" s="28">
        <f t="shared" si="4"/>
        <v>183.24</v>
      </c>
      <c r="T20" s="28">
        <f t="shared" si="5"/>
        <v>253.29</v>
      </c>
      <c r="U20" s="28">
        <f t="shared" si="6"/>
        <v>235.48000000000002</v>
      </c>
      <c r="V20" s="28">
        <f t="shared" si="7"/>
        <v>321.48</v>
      </c>
      <c r="W20" s="28">
        <f t="shared" si="8"/>
        <v>224.76</v>
      </c>
      <c r="X20" s="28">
        <f t="shared" si="9"/>
        <v>216.32</v>
      </c>
      <c r="Y20" s="28">
        <f t="shared" si="10"/>
        <v>283.2</v>
      </c>
      <c r="Z20" s="28">
        <f t="shared" si="11"/>
        <v>178.49</v>
      </c>
      <c r="AA20" s="28">
        <f t="shared" si="12"/>
        <v>236.05</v>
      </c>
      <c r="AB20" s="28">
        <f t="shared" si="13"/>
        <v>182.4</v>
      </c>
      <c r="AC20" s="28">
        <f t="shared" si="14"/>
        <v>2637.55</v>
      </c>
    </row>
    <row r="21" spans="1:29" x14ac:dyDescent="0.3">
      <c r="A21" s="29" t="s">
        <v>81</v>
      </c>
      <c r="B21" s="32" t="str" cm="1">
        <f t="array" ref="B21">IFERROR(
    _xlfn.XLOOKUP(
        $A21,
        Table1[Location],
        INDEX(Table1[], , MATCH(B$1, Table1[#Headers], 0))
    ),
"")</f>
        <v>FL</v>
      </c>
      <c r="C21" s="28" cm="1">
        <f t="array" ref="C21">IFERROR(
    _xlfn.XLOOKUP(
        $A21,
        Table1[Location],
        INDEX(Table1[], , MATCH(C$1, Table1[#Headers], 0))
    ),
"")</f>
        <v>13701</v>
      </c>
      <c r="D21" s="28" cm="1">
        <f t="array" ref="D21">IFERROR(
    _xlfn.XLOOKUP(
        $A21,
        Table1[Location],
        INDEX(Table1[], , MATCH(D$1, Table1[#Headers], 0))
    ),
"")</f>
        <v>19044</v>
      </c>
      <c r="E21" s="28" cm="1">
        <f t="array" ref="E21">IFERROR(
    _xlfn.XLOOKUP(
        $A21,
        Table1[Location],
        INDEX(Table1[], , MATCH(E$1, Table1[#Headers], 0))
    ),
"")</f>
        <v>26472</v>
      </c>
      <c r="F21" s="28" cm="1">
        <f t="array" ref="F21">IFERROR(
    _xlfn.XLOOKUP(
        $A21,
        Table1[Location],
        INDEX(Table1[], , MATCH(F$1, Table1[#Headers], 0))
    ),
"")</f>
        <v>36796</v>
      </c>
      <c r="G21" s="28" cm="1">
        <f t="array" ref="G21">IFERROR(
    _xlfn.XLOOKUP(
        $A21,
        Table1[Location],
        INDEX(Table1[], , MATCH(G$1, Table1[#Headers], 0))
    ),
"")</f>
        <v>26350</v>
      </c>
      <c r="H21" s="28" cm="1">
        <f t="array" ref="H21">IFERROR(
    _xlfn.XLOOKUP(
        $A21,
        Table1[Location],
        INDEX(Table1[], , MATCH(H$1, Table1[#Headers], 0))
    ),
"")</f>
        <v>27860</v>
      </c>
      <c r="I21" s="28" cm="1">
        <f t="array" ref="I21">IFERROR(
    _xlfn.XLOOKUP(
        $A21,
        Table1[Location],
        INDEX(Table1[], , MATCH(I$1, Table1[#Headers], 0))
    ),
"")</f>
        <v>26420</v>
      </c>
      <c r="J21" s="28" cm="1">
        <f t="array" ref="J21">IFERROR(
    _xlfn.XLOOKUP(
        $A21,
        Table1[Location],
        INDEX(Table1[], , MATCH(J$1, Table1[#Headers], 0))
    ),
"")</f>
        <v>24560</v>
      </c>
      <c r="K21" s="28" cm="1">
        <f t="array" ref="K21">IFERROR(
    _xlfn.XLOOKUP(
        $A21,
        Table1[Location],
        INDEX(Table1[], , MATCH(K$1, Table1[#Headers], 0))
    ),
"")</f>
        <v>30245</v>
      </c>
      <c r="L21" s="28" cm="1">
        <f t="array" ref="L21">IFERROR(
    _xlfn.XLOOKUP(
        $A21,
        Table1[Location],
        INDEX(Table1[], , MATCH(L$1, Table1[#Headers], 0))
    ),
"")</f>
        <v>22521</v>
      </c>
      <c r="M21" s="28" cm="1">
        <f t="array" ref="M21">IFERROR(
    _xlfn.XLOOKUP(
        $A21,
        Table1[Location],
        INDEX(Table1[], , MATCH(M$1, Table1[#Headers], 0))
    ),
"")</f>
        <v>24361</v>
      </c>
      <c r="N21" s="28" cm="1">
        <f t="array" ref="N21">IFERROR(
    _xlfn.XLOOKUP(
        $A21,
        Table1[Location],
        INDEX(Table1[], , MATCH(N$1, Table1[#Headers], 0))
    ),
"")</f>
        <v>22478</v>
      </c>
      <c r="O21" s="28">
        <f t="shared" si="1"/>
        <v>300808</v>
      </c>
      <c r="Q21" s="28">
        <f t="shared" si="2"/>
        <v>137.01</v>
      </c>
      <c r="R21" s="28">
        <f t="shared" si="3"/>
        <v>190.44</v>
      </c>
      <c r="S21" s="28">
        <f t="shared" si="4"/>
        <v>264.72000000000003</v>
      </c>
      <c r="T21" s="28">
        <f t="shared" si="5"/>
        <v>367.96</v>
      </c>
      <c r="U21" s="28">
        <f t="shared" si="6"/>
        <v>263.5</v>
      </c>
      <c r="V21" s="28">
        <f t="shared" si="7"/>
        <v>278.60000000000002</v>
      </c>
      <c r="W21" s="28">
        <f t="shared" si="8"/>
        <v>264.2</v>
      </c>
      <c r="X21" s="28">
        <f t="shared" si="9"/>
        <v>245.6</v>
      </c>
      <c r="Y21" s="28">
        <f t="shared" si="10"/>
        <v>302.45</v>
      </c>
      <c r="Z21" s="28">
        <f t="shared" si="11"/>
        <v>225.21</v>
      </c>
      <c r="AA21" s="28">
        <f t="shared" si="12"/>
        <v>243.61</v>
      </c>
      <c r="AB21" s="28">
        <f t="shared" si="13"/>
        <v>224.78</v>
      </c>
      <c r="AC21" s="28">
        <f t="shared" si="14"/>
        <v>3008.0800000000004</v>
      </c>
    </row>
    <row r="22" spans="1:29" x14ac:dyDescent="0.3">
      <c r="A22" s="29" t="s">
        <v>82</v>
      </c>
      <c r="B22" s="32" t="str" cm="1">
        <f t="array" ref="B22">IFERROR(
    _xlfn.XLOOKUP(
        $A22,
        Table1[Location],
        INDEX(Table1[], , MATCH(B$1, Table1[#Headers], 0))
    ),
"")</f>
        <v>FL</v>
      </c>
      <c r="C22" s="28" cm="1">
        <f t="array" ref="C22">IFERROR(
    _xlfn.XLOOKUP(
        $A22,
        Table1[Location],
        INDEX(Table1[], , MATCH(C$1, Table1[#Headers], 0))
    ),
"")</f>
        <v>13601</v>
      </c>
      <c r="D22" s="28" cm="1">
        <f t="array" ref="D22">IFERROR(
    _xlfn.XLOOKUP(
        $A22,
        Table1[Location],
        INDEX(Table1[], , MATCH(D$1, Table1[#Headers], 0))
    ),
"")</f>
        <v>18905</v>
      </c>
      <c r="E22" s="28" cm="1">
        <f t="array" ref="E22">IFERROR(
    _xlfn.XLOOKUP(
        $A22,
        Table1[Location],
        INDEX(Table1[], , MATCH(E$1, Table1[#Headers], 0))
    ),
"")</f>
        <v>26278</v>
      </c>
      <c r="F22" s="28" cm="1">
        <f t="array" ref="F22">IFERROR(
    _xlfn.XLOOKUP(
        $A22,
        Table1[Location],
        INDEX(Table1[], , MATCH(F$1, Table1[#Headers], 0))
    ),
"")</f>
        <v>36527</v>
      </c>
      <c r="G22" s="28" cm="1">
        <f t="array" ref="G22">IFERROR(
    _xlfn.XLOOKUP(
        $A22,
        Table1[Location],
        INDEX(Table1[], , MATCH(G$1, Table1[#Headers], 0))
    ),
"")</f>
        <v>24502</v>
      </c>
      <c r="H22" s="28" cm="1">
        <f t="array" ref="H22">IFERROR(
    _xlfn.XLOOKUP(
        $A22,
        Table1[Location],
        INDEX(Table1[], , MATCH(H$1, Table1[#Headers], 0))
    ),
"")</f>
        <v>29478</v>
      </c>
      <c r="I22" s="28" cm="1">
        <f t="array" ref="I22">IFERROR(
    _xlfn.XLOOKUP(
        $A22,
        Table1[Location],
        INDEX(Table1[], , MATCH(I$1, Table1[#Headers], 0))
    ),
"")</f>
        <v>25103</v>
      </c>
      <c r="J22" s="28" cm="1">
        <f t="array" ref="J22">IFERROR(
    _xlfn.XLOOKUP(
        $A22,
        Table1[Location],
        INDEX(Table1[], , MATCH(J$1, Table1[#Headers], 0))
    ),
"")</f>
        <v>23879</v>
      </c>
      <c r="K22" s="28" cm="1">
        <f t="array" ref="K22">IFERROR(
    _xlfn.XLOOKUP(
        $A22,
        Table1[Location],
        INDEX(Table1[], , MATCH(K$1, Table1[#Headers], 0))
    ),
"")</f>
        <v>29369</v>
      </c>
      <c r="L22" s="28" cm="1">
        <f t="array" ref="L22">IFERROR(
    _xlfn.XLOOKUP(
        $A22,
        Table1[Location],
        INDEX(Table1[], , MATCH(L$1, Table1[#Headers], 0))
    ),
"")</f>
        <v>19584</v>
      </c>
      <c r="M22" s="28" cm="1">
        <f t="array" ref="M22">IFERROR(
    _xlfn.XLOOKUP(
        $A22,
        Table1[Location],
        INDEX(Table1[], , MATCH(M$1, Table1[#Headers], 0))
    ),
"")</f>
        <v>23987</v>
      </c>
      <c r="N22" s="28" cm="1">
        <f t="array" ref="N22">IFERROR(
    _xlfn.XLOOKUP(
        $A22,
        Table1[Location],
        INDEX(Table1[], , MATCH(N$1, Table1[#Headers], 0))
    ),
"")</f>
        <v>19652</v>
      </c>
      <c r="O22" s="28">
        <f t="shared" si="1"/>
        <v>290865</v>
      </c>
      <c r="Q22" s="28">
        <f t="shared" si="2"/>
        <v>136.01</v>
      </c>
      <c r="R22" s="28">
        <f t="shared" si="3"/>
        <v>189.05</v>
      </c>
      <c r="S22" s="28">
        <f t="shared" si="4"/>
        <v>262.78000000000003</v>
      </c>
      <c r="T22" s="28">
        <f t="shared" si="5"/>
        <v>365.27</v>
      </c>
      <c r="U22" s="28">
        <f t="shared" si="6"/>
        <v>245.02</v>
      </c>
      <c r="V22" s="28">
        <f t="shared" si="7"/>
        <v>294.78000000000003</v>
      </c>
      <c r="W22" s="28">
        <f t="shared" si="8"/>
        <v>251.03</v>
      </c>
      <c r="X22" s="28">
        <f t="shared" si="9"/>
        <v>238.79</v>
      </c>
      <c r="Y22" s="28">
        <f t="shared" si="10"/>
        <v>293.69</v>
      </c>
      <c r="Z22" s="28">
        <f t="shared" si="11"/>
        <v>195.84</v>
      </c>
      <c r="AA22" s="28">
        <f t="shared" si="12"/>
        <v>239.87</v>
      </c>
      <c r="AB22" s="28">
        <f t="shared" si="13"/>
        <v>196.52</v>
      </c>
      <c r="AC22" s="28">
        <f t="shared" si="14"/>
        <v>2908.65</v>
      </c>
    </row>
    <row r="23" spans="1:29" x14ac:dyDescent="0.3">
      <c r="A23" s="29" t="s">
        <v>83</v>
      </c>
      <c r="B23" s="32" t="str" cm="1">
        <f t="array" ref="B23">IFERROR(
    _xlfn.XLOOKUP(
        $A23,
        Table1[Location],
        INDEX(Table1[], , MATCH(B$1, Table1[#Headers], 0))
    ),
"")</f>
        <v>FL</v>
      </c>
      <c r="C23" s="28" cm="1">
        <f t="array" ref="C23">IFERROR(
    _xlfn.XLOOKUP(
        $A23,
        Table1[Location],
        INDEX(Table1[], , MATCH(C$1, Table1[#Headers], 0))
    ),
"")</f>
        <v>16424</v>
      </c>
      <c r="D23" s="28" cm="1">
        <f t="array" ref="D23">IFERROR(
    _xlfn.XLOOKUP(
        $A23,
        Table1[Location],
        INDEX(Table1[], , MATCH(D$1, Table1[#Headers], 0))
    ),
"")</f>
        <v>22829</v>
      </c>
      <c r="E23" s="28" cm="1">
        <f t="array" ref="E23">IFERROR(
    _xlfn.XLOOKUP(
        $A23,
        Table1[Location],
        INDEX(Table1[], , MATCH(E$1, Table1[#Headers], 0))
    ),
"")</f>
        <v>29653</v>
      </c>
      <c r="F23" s="28" cm="1">
        <f t="array" ref="F23">IFERROR(
    _xlfn.XLOOKUP(
        $A23,
        Table1[Location],
        INDEX(Table1[], , MATCH(F$1, Table1[#Headers], 0))
    ),
"")</f>
        <v>37254</v>
      </c>
      <c r="G23" s="28" cm="1">
        <f t="array" ref="G23">IFERROR(
    _xlfn.XLOOKUP(
        $A23,
        Table1[Location],
        INDEX(Table1[], , MATCH(G$1, Table1[#Headers], 0))
    ),
"")</f>
        <v>23265</v>
      </c>
      <c r="H23" s="28" cm="1">
        <f t="array" ref="H23">IFERROR(
    _xlfn.XLOOKUP(
        $A23,
        Table1[Location],
        INDEX(Table1[], , MATCH(H$1, Table1[#Headers], 0))
    ),
"")</f>
        <v>25312</v>
      </c>
      <c r="I23" s="28" cm="1">
        <f t="array" ref="I23">IFERROR(
    _xlfn.XLOOKUP(
        $A23,
        Table1[Location],
        INDEX(Table1[], , MATCH(I$1, Table1[#Headers], 0))
    ),
"")</f>
        <v>23642</v>
      </c>
      <c r="J23" s="28" cm="1">
        <f t="array" ref="J23">IFERROR(
    _xlfn.XLOOKUP(
        $A23,
        Table1[Location],
        INDEX(Table1[], , MATCH(J$1, Table1[#Headers], 0))
    ),
"")</f>
        <v>25654</v>
      </c>
      <c r="K23" s="28" cm="1">
        <f t="array" ref="K23">IFERROR(
    _xlfn.XLOOKUP(
        $A23,
        Table1[Location],
        INDEX(Table1[], , MATCH(K$1, Table1[#Headers], 0))
    ),
"")</f>
        <v>31622</v>
      </c>
      <c r="L23" s="28" cm="1">
        <f t="array" ref="L23">IFERROR(
    _xlfn.XLOOKUP(
        $A23,
        Table1[Location],
        INDEX(Table1[], , MATCH(L$1, Table1[#Headers], 0))
    ),
"")</f>
        <v>17489</v>
      </c>
      <c r="M23" s="28" cm="1">
        <f t="array" ref="M23">IFERROR(
    _xlfn.XLOOKUP(
        $A23,
        Table1[Location],
        INDEX(Table1[], , MATCH(M$1, Table1[#Headers], 0))
    ),
"")</f>
        <v>21564</v>
      </c>
      <c r="N23" s="28" cm="1">
        <f t="array" ref="N23">IFERROR(
    _xlfn.XLOOKUP(
        $A23,
        Table1[Location],
        INDEX(Table1[], , MATCH(N$1, Table1[#Headers], 0))
    ),
"")</f>
        <v>22156</v>
      </c>
      <c r="O23" s="28">
        <f t="shared" si="1"/>
        <v>296864</v>
      </c>
      <c r="Q23" s="28">
        <f t="shared" si="2"/>
        <v>164.24</v>
      </c>
      <c r="R23" s="28">
        <f t="shared" si="3"/>
        <v>228.29</v>
      </c>
      <c r="S23" s="28">
        <f t="shared" si="4"/>
        <v>296.53000000000003</v>
      </c>
      <c r="T23" s="28">
        <f t="shared" si="5"/>
        <v>372.54</v>
      </c>
      <c r="U23" s="28">
        <f t="shared" si="6"/>
        <v>232.65</v>
      </c>
      <c r="V23" s="28">
        <f t="shared" si="7"/>
        <v>253.12</v>
      </c>
      <c r="W23" s="28">
        <f t="shared" si="8"/>
        <v>236.42000000000002</v>
      </c>
      <c r="X23" s="28">
        <f t="shared" si="9"/>
        <v>256.54000000000002</v>
      </c>
      <c r="Y23" s="28">
        <f t="shared" si="10"/>
        <v>316.22000000000003</v>
      </c>
      <c r="Z23" s="28">
        <f t="shared" si="11"/>
        <v>174.89000000000001</v>
      </c>
      <c r="AA23" s="28">
        <f t="shared" si="12"/>
        <v>215.64000000000001</v>
      </c>
      <c r="AB23" s="28">
        <f t="shared" si="13"/>
        <v>221.56</v>
      </c>
      <c r="AC23" s="28">
        <f t="shared" si="14"/>
        <v>2968.64</v>
      </c>
    </row>
    <row r="24" spans="1:29" x14ac:dyDescent="0.3">
      <c r="A24" s="29" t="s">
        <v>84</v>
      </c>
      <c r="B24" s="32" t="str" cm="1">
        <f t="array" ref="B24">IFERROR(
    _xlfn.XLOOKUP(
        $A24,
        Table1[Location],
        INDEX(Table1[], , MATCH(B$1, Table1[#Headers], 0))
    ),
"")</f>
        <v>FL</v>
      </c>
      <c r="C24" s="28" cm="1">
        <f t="array" ref="C24">IFERROR(
    _xlfn.XLOOKUP(
        $A24,
        Table1[Location],
        INDEX(Table1[], , MATCH(C$1, Table1[#Headers], 0))
    ),
"")</f>
        <v>13864</v>
      </c>
      <c r="D24" s="28" cm="1">
        <f t="array" ref="D24">IFERROR(
    _xlfn.XLOOKUP(
        $A24,
        Table1[Location],
        INDEX(Table1[], , MATCH(D$1, Table1[#Headers], 0))
    ),
"")</f>
        <v>26333</v>
      </c>
      <c r="E24" s="28" cm="1">
        <f t="array" ref="E24">IFERROR(
    _xlfn.XLOOKUP(
        $A24,
        Table1[Location],
        INDEX(Table1[], , MATCH(E$1, Table1[#Headers], 0))
    ),
"")</f>
        <v>24125</v>
      </c>
      <c r="F24" s="28" cm="1">
        <f t="array" ref="F24">IFERROR(
    _xlfn.XLOOKUP(
        $A24,
        Table1[Location],
        INDEX(Table1[], , MATCH(F$1, Table1[#Headers], 0))
    ),
"")</f>
        <v>26540</v>
      </c>
      <c r="G24" s="28" cm="1">
        <f t="array" ref="G24">IFERROR(
    _xlfn.XLOOKUP(
        $A24,
        Table1[Location],
        INDEX(Table1[], , MATCH(G$1, Table1[#Headers], 0))
    ),
"")</f>
        <v>24198</v>
      </c>
      <c r="H24" s="28" cm="1">
        <f t="array" ref="H24">IFERROR(
    _xlfn.XLOOKUP(
        $A24,
        Table1[Location],
        INDEX(Table1[], , MATCH(H$1, Table1[#Headers], 0))
    ),
"")</f>
        <v>17509</v>
      </c>
      <c r="I24" s="28" cm="1">
        <f t="array" ref="I24">IFERROR(
    _xlfn.XLOOKUP(
        $A24,
        Table1[Location],
        INDEX(Table1[], , MATCH(I$1, Table1[#Headers], 0))
    ),
"")</f>
        <v>29541</v>
      </c>
      <c r="J24" s="28" cm="1">
        <f t="array" ref="J24">IFERROR(
    _xlfn.XLOOKUP(
        $A24,
        Table1[Location],
        INDEX(Table1[], , MATCH(J$1, Table1[#Headers], 0))
    ),
"")</f>
        <v>22326</v>
      </c>
      <c r="K24" s="28" cm="1">
        <f t="array" ref="K24">IFERROR(
    _xlfn.XLOOKUP(
        $A24,
        Table1[Location],
        INDEX(Table1[], , MATCH(K$1, Table1[#Headers], 0))
    ),
"")</f>
        <v>24886.869381</v>
      </c>
      <c r="L24" s="28" cm="1">
        <f t="array" ref="L24">IFERROR(
    _xlfn.XLOOKUP(
        $A24,
        Table1[Location],
        INDEX(Table1[], , MATCH(L$1, Table1[#Headers], 0))
    ),
"")</f>
        <v>14379.080087</v>
      </c>
      <c r="M24" s="28" cm="1">
        <f t="array" ref="M24">IFERROR(
    _xlfn.XLOOKUP(
        $A24,
        Table1[Location],
        INDEX(Table1[], , MATCH(M$1, Table1[#Headers], 0))
    ),
"")</f>
        <v>21369</v>
      </c>
      <c r="N24" s="28" cm="1">
        <f t="array" ref="N24">IFERROR(
    _xlfn.XLOOKUP(
        $A24,
        Table1[Location],
        INDEX(Table1[], , MATCH(N$1, Table1[#Headers], 0))
    ),
"")</f>
        <v>17432</v>
      </c>
      <c r="O24" s="28">
        <f t="shared" si="1"/>
        <v>262502.94946799998</v>
      </c>
      <c r="Q24" s="28">
        <f t="shared" si="2"/>
        <v>138.64000000000001</v>
      </c>
      <c r="R24" s="28">
        <f t="shared" si="3"/>
        <v>263.33</v>
      </c>
      <c r="S24" s="28">
        <f t="shared" si="4"/>
        <v>241.25</v>
      </c>
      <c r="T24" s="28">
        <f t="shared" si="5"/>
        <v>265.39999999999998</v>
      </c>
      <c r="U24" s="28">
        <f t="shared" si="6"/>
        <v>241.98000000000002</v>
      </c>
      <c r="V24" s="28">
        <f t="shared" si="7"/>
        <v>175.09</v>
      </c>
      <c r="W24" s="28">
        <f t="shared" si="8"/>
        <v>295.41000000000003</v>
      </c>
      <c r="X24" s="28">
        <f t="shared" si="9"/>
        <v>223.26</v>
      </c>
      <c r="Y24" s="28">
        <f t="shared" si="10"/>
        <v>248.86869381</v>
      </c>
      <c r="Z24" s="28">
        <f t="shared" si="11"/>
        <v>143.79080087</v>
      </c>
      <c r="AA24" s="28">
        <f t="shared" si="12"/>
        <v>213.69</v>
      </c>
      <c r="AB24" s="28">
        <f t="shared" si="13"/>
        <v>174.32</v>
      </c>
      <c r="AC24" s="28">
        <f t="shared" si="14"/>
        <v>2625.0294946800004</v>
      </c>
    </row>
    <row r="25" spans="1:29" x14ac:dyDescent="0.3">
      <c r="A25" s="29" t="s">
        <v>85</v>
      </c>
      <c r="B25" s="32" t="str" cm="1">
        <f t="array" ref="B25">IFERROR(
    _xlfn.XLOOKUP(
        $A25,
        Table1[Location],
        INDEX(Table1[], , MATCH(B$1, Table1[#Headers], 0))
    ),
"")</f>
        <v>FL</v>
      </c>
      <c r="C25" s="28" cm="1">
        <f t="array" ref="C25">IFERROR(
    _xlfn.XLOOKUP(
        $A25,
        Table1[Location],
        INDEX(Table1[], , MATCH(C$1, Table1[#Headers], 0))
    ),
"")</f>
        <v>10350</v>
      </c>
      <c r="D25" s="28" cm="1">
        <f t="array" ref="D25">IFERROR(
    _xlfn.XLOOKUP(
        $A25,
        Table1[Location],
        INDEX(Table1[], , MATCH(D$1, Table1[#Headers], 0))
    ),
"")</f>
        <v>14387</v>
      </c>
      <c r="E25" s="28" cm="1">
        <f t="array" ref="E25">IFERROR(
    _xlfn.XLOOKUP(
        $A25,
        Table1[Location],
        INDEX(Table1[], , MATCH(E$1, Table1[#Headers], 0))
    ),
"")</f>
        <v>7989</v>
      </c>
      <c r="F25" s="28" cm="1">
        <f t="array" ref="F25">IFERROR(
    _xlfn.XLOOKUP(
        $A25,
        Table1[Location],
        INDEX(Table1[], , MATCH(F$1, Table1[#Headers], 0))
    ),
"")</f>
        <v>13994</v>
      </c>
      <c r="G25" s="28" cm="1">
        <f t="array" ref="G25">IFERROR(
    _xlfn.XLOOKUP(
        $A25,
        Table1[Location],
        INDEX(Table1[], , MATCH(G$1, Table1[#Headers], 0))
    ),
"")</f>
        <v>14218.657818</v>
      </c>
      <c r="H25" s="28" cm="1">
        <f t="array" ref="H25">IFERROR(
    _xlfn.XLOOKUP(
        $A25,
        Table1[Location],
        INDEX(Table1[], , MATCH(H$1, Table1[#Headers], 0))
    ),
"")</f>
        <v>6991</v>
      </c>
      <c r="I25" s="28" cm="1">
        <f t="array" ref="I25">IFERROR(
    _xlfn.XLOOKUP(
        $A25,
        Table1[Location],
        INDEX(Table1[], , MATCH(I$1, Table1[#Headers], 0))
    ),
"")</f>
        <v>33960</v>
      </c>
      <c r="J25" s="28" cm="1">
        <f t="array" ref="J25">IFERROR(
    _xlfn.XLOOKUP(
        $A25,
        Table1[Location],
        INDEX(Table1[], , MATCH(J$1, Table1[#Headers], 0))
    ),
"")</f>
        <v>13944</v>
      </c>
      <c r="K25" s="28" cm="1">
        <f t="array" ref="K25">IFERROR(
    _xlfn.XLOOKUP(
        $A25,
        Table1[Location],
        INDEX(Table1[], , MATCH(K$1, Table1[#Headers], 0))
    ),
"")</f>
        <v>7001</v>
      </c>
      <c r="L25" s="28" cm="1">
        <f t="array" ref="L25">IFERROR(
    _xlfn.XLOOKUP(
        $A25,
        Table1[Location],
        INDEX(Table1[], , MATCH(L$1, Table1[#Headers], 0))
    ),
"")</f>
        <v>17267.726667999999</v>
      </c>
      <c r="M25" s="28" cm="1">
        <f t="array" ref="M25">IFERROR(
    _xlfn.XLOOKUP(
        $A25,
        Table1[Location],
        INDEX(Table1[], , MATCH(M$1, Table1[#Headers], 0))
    ),
"")</f>
        <v>5747</v>
      </c>
      <c r="N25" s="28" cm="1">
        <f t="array" ref="N25">IFERROR(
    _xlfn.XLOOKUP(
        $A25,
        Table1[Location],
        INDEX(Table1[], , MATCH(N$1, Table1[#Headers], 0))
    ),
"")</f>
        <v>6521</v>
      </c>
      <c r="O25" s="28">
        <f t="shared" si="1"/>
        <v>152370.384486</v>
      </c>
      <c r="Q25" s="28">
        <f t="shared" si="2"/>
        <v>103.5</v>
      </c>
      <c r="R25" s="28">
        <f t="shared" si="3"/>
        <v>143.87</v>
      </c>
      <c r="S25" s="28">
        <f t="shared" si="4"/>
        <v>79.89</v>
      </c>
      <c r="T25" s="28">
        <f t="shared" si="5"/>
        <v>139.94</v>
      </c>
      <c r="U25" s="28">
        <f t="shared" si="6"/>
        <v>142.18657818</v>
      </c>
      <c r="V25" s="28">
        <f t="shared" si="7"/>
        <v>69.91</v>
      </c>
      <c r="W25" s="28">
        <f t="shared" si="8"/>
        <v>339.6</v>
      </c>
      <c r="X25" s="28">
        <f t="shared" si="9"/>
        <v>139.44</v>
      </c>
      <c r="Y25" s="28">
        <f t="shared" si="10"/>
        <v>70.010000000000005</v>
      </c>
      <c r="Z25" s="28">
        <f t="shared" si="11"/>
        <v>172.67726668</v>
      </c>
      <c r="AA25" s="28">
        <f t="shared" si="12"/>
        <v>57.47</v>
      </c>
      <c r="AB25" s="28">
        <f t="shared" si="13"/>
        <v>65.210000000000008</v>
      </c>
      <c r="AC25" s="28">
        <f t="shared" si="14"/>
        <v>1523.7038448600001</v>
      </c>
    </row>
    <row r="26" spans="1:29" x14ac:dyDescent="0.3">
      <c r="A26" s="31" t="s">
        <v>86</v>
      </c>
      <c r="B26" s="32" t="str" cm="1">
        <f t="array" ref="B26">IFERROR(
    _xlfn.XLOOKUP(
        $A26,
        Table1[Location],
        INDEX(Table1[], , MATCH(B$1, Table1[#Headers], 0))
    ),
"")</f>
        <v>GA</v>
      </c>
      <c r="C26" s="28" cm="1">
        <f t="array" ref="C26">IFERROR(
    _xlfn.XLOOKUP(
        $A26,
        Table1[Location],
        INDEX(Table1[], , MATCH(C$1, Table1[#Headers], 0))
    ),
"")</f>
        <v>22589</v>
      </c>
      <c r="D26" s="28" cm="1">
        <f t="array" ref="D26">IFERROR(
    _xlfn.XLOOKUP(
        $A26,
        Table1[Location],
        INDEX(Table1[], , MATCH(D$1, Table1[#Headers], 0))
    ),
"")</f>
        <v>12485</v>
      </c>
      <c r="E26" s="28" cm="1">
        <f t="array" ref="E26">IFERROR(
    _xlfn.XLOOKUP(
        $A26,
        Table1[Location],
        INDEX(Table1[], , MATCH(E$1, Table1[#Headers], 0))
    ),
"")</f>
        <v>16899</v>
      </c>
      <c r="F26" s="28" cm="1">
        <f t="array" ref="F26">IFERROR(
    _xlfn.XLOOKUP(
        $A26,
        Table1[Location],
        INDEX(Table1[], , MATCH(F$1, Table1[#Headers], 0))
    ),
"")</f>
        <v>53458</v>
      </c>
      <c r="G26" s="28" cm="1">
        <f t="array" ref="G26">IFERROR(
    _xlfn.XLOOKUP(
        $A26,
        Table1[Location],
        INDEX(Table1[], , MATCH(G$1, Table1[#Headers], 0))
    ),
"")</f>
        <v>49438</v>
      </c>
      <c r="H26" s="28" cm="1">
        <f t="array" ref="H26">IFERROR(
    _xlfn.XLOOKUP(
        $A26,
        Table1[Location],
        INDEX(Table1[], , MATCH(H$1, Table1[#Headers], 0))
    ),
"")</f>
        <v>86566</v>
      </c>
      <c r="I26" s="28" cm="1">
        <f t="array" ref="I26">IFERROR(
    _xlfn.XLOOKUP(
        $A26,
        Table1[Location],
        INDEX(Table1[], , MATCH(I$1, Table1[#Headers], 0))
    ),
"")</f>
        <v>40733</v>
      </c>
      <c r="J26" s="28" cm="1">
        <f t="array" ref="J26">IFERROR(
    _xlfn.XLOOKUP(
        $A26,
        Table1[Location],
        INDEX(Table1[], , MATCH(J$1, Table1[#Headers], 0))
    ),
"")</f>
        <v>129588</v>
      </c>
      <c r="K26" s="28" cm="1">
        <f t="array" ref="K26">IFERROR(
    _xlfn.XLOOKUP(
        $A26,
        Table1[Location],
        INDEX(Table1[], , MATCH(K$1, Table1[#Headers], 0))
    ),
"")</f>
        <v>114836</v>
      </c>
      <c r="L26" s="28" cm="1">
        <f t="array" ref="L26">IFERROR(
    _xlfn.XLOOKUP(
        $A26,
        Table1[Location],
        INDEX(Table1[], , MATCH(L$1, Table1[#Headers], 0))
    ),
"")</f>
        <v>33389</v>
      </c>
      <c r="M26" s="28" cm="1">
        <f t="array" ref="M26">IFERROR(
    _xlfn.XLOOKUP(
        $A26,
        Table1[Location],
        INDEX(Table1[], , MATCH(M$1, Table1[#Headers], 0))
    ),
"")</f>
        <v>35842</v>
      </c>
      <c r="N26" s="28" cm="1">
        <f t="array" ref="N26">IFERROR(
    _xlfn.XLOOKUP(
        $A26,
        Table1[Location],
        INDEX(Table1[], , MATCH(N$1, Table1[#Headers], 0))
    ),
"")</f>
        <v>9477.7846160000008</v>
      </c>
      <c r="O26" s="28">
        <f t="shared" si="1"/>
        <v>605300.78461600002</v>
      </c>
      <c r="Q26" s="28">
        <f t="shared" si="2"/>
        <v>225.89000000000001</v>
      </c>
      <c r="R26" s="28">
        <f t="shared" si="3"/>
        <v>124.85000000000001</v>
      </c>
      <c r="S26" s="28">
        <f t="shared" si="4"/>
        <v>168.99</v>
      </c>
      <c r="T26" s="28">
        <f t="shared" si="5"/>
        <v>534.58000000000004</v>
      </c>
      <c r="U26" s="28">
        <f t="shared" si="6"/>
        <v>494.38</v>
      </c>
      <c r="V26" s="28">
        <f t="shared" si="7"/>
        <v>865.66</v>
      </c>
      <c r="W26" s="28">
        <f t="shared" si="8"/>
        <v>407.33</v>
      </c>
      <c r="X26" s="28">
        <f t="shared" si="9"/>
        <v>1295.8800000000001</v>
      </c>
      <c r="Y26" s="28">
        <f t="shared" si="10"/>
        <v>1148.3600000000001</v>
      </c>
      <c r="Z26" s="28">
        <f t="shared" si="11"/>
        <v>333.89</v>
      </c>
      <c r="AA26" s="28">
        <f t="shared" si="12"/>
        <v>358.42</v>
      </c>
      <c r="AB26" s="28">
        <f t="shared" si="13"/>
        <v>94.77784616000001</v>
      </c>
      <c r="AC26" s="28">
        <f t="shared" si="14"/>
        <v>6053.0078461600006</v>
      </c>
    </row>
    <row r="27" spans="1:29" x14ac:dyDescent="0.3">
      <c r="A27" s="29" t="s">
        <v>88</v>
      </c>
      <c r="B27" s="32" t="str" cm="1">
        <f t="array" ref="B27">IFERROR(
    _xlfn.XLOOKUP(
        $A27,
        Table1[Location],
        INDEX(Table1[], , MATCH(B$1, Table1[#Headers], 0))
    ),
"")</f>
        <v>GA</v>
      </c>
      <c r="C27" s="28" cm="1">
        <f t="array" ref="C27">IFERROR(
    _xlfn.XLOOKUP(
        $A27,
        Table1[Location],
        INDEX(Table1[], , MATCH(C$1, Table1[#Headers], 0))
    ),
"")</f>
        <v>19246</v>
      </c>
      <c r="D27" s="28" cm="1">
        <f t="array" ref="D27">IFERROR(
    _xlfn.XLOOKUP(
        $A27,
        Table1[Location],
        INDEX(Table1[], , MATCH(D$1, Table1[#Headers], 0))
    ),
"")</f>
        <v>12243.535311</v>
      </c>
      <c r="E27" s="28" cm="1">
        <f t="array" ref="E27">IFERROR(
    _xlfn.XLOOKUP(
        $A27,
        Table1[Location],
        INDEX(Table1[], , MATCH(E$1, Table1[#Headers], 0))
    ),
"")</f>
        <v>14879</v>
      </c>
      <c r="F27" s="28" cm="1">
        <f t="array" ref="F27">IFERROR(
    _xlfn.XLOOKUP(
        $A27,
        Table1[Location],
        INDEX(Table1[], , MATCH(F$1, Table1[#Headers], 0))
    ),
"")</f>
        <v>41479.121163999996</v>
      </c>
      <c r="G27" s="28" cm="1">
        <f t="array" ref="G27">IFERROR(
    _xlfn.XLOOKUP(
        $A27,
        Table1[Location],
        INDEX(Table1[], , MATCH(G$1, Table1[#Headers], 0))
    ),
"")</f>
        <v>43265</v>
      </c>
      <c r="H27" s="28" cm="1">
        <f t="array" ref="H27">IFERROR(
    _xlfn.XLOOKUP(
        $A27,
        Table1[Location],
        INDEX(Table1[], , MATCH(H$1, Table1[#Headers], 0))
    ),
"")</f>
        <v>33672</v>
      </c>
      <c r="I27" s="28" cm="1">
        <f t="array" ref="I27">IFERROR(
    _xlfn.XLOOKUP(
        $A27,
        Table1[Location],
        INDEX(Table1[], , MATCH(I$1, Table1[#Headers], 0))
    ),
"")</f>
        <v>35461</v>
      </c>
      <c r="J27" s="28" cm="1">
        <f t="array" ref="J27">IFERROR(
    _xlfn.XLOOKUP(
        $A27,
        Table1[Location],
        INDEX(Table1[], , MATCH(J$1, Table1[#Headers], 0))
    ),
"")</f>
        <v>68913</v>
      </c>
      <c r="K27" s="28" cm="1">
        <f t="array" ref="K27">IFERROR(
    _xlfn.XLOOKUP(
        $A27,
        Table1[Location],
        INDEX(Table1[], , MATCH(K$1, Table1[#Headers], 0))
    ),
"")</f>
        <v>56126</v>
      </c>
      <c r="L27" s="28" cm="1">
        <f t="array" ref="L27">IFERROR(
    _xlfn.XLOOKUP(
        $A27,
        Table1[Location],
        INDEX(Table1[], , MATCH(L$1, Table1[#Headers], 0))
    ),
"")</f>
        <v>48476</v>
      </c>
      <c r="M27" s="28" cm="1">
        <f t="array" ref="M27">IFERROR(
    _xlfn.XLOOKUP(
        $A27,
        Table1[Location],
        INDEX(Table1[], , MATCH(M$1, Table1[#Headers], 0))
    ),
"")</f>
        <v>27435</v>
      </c>
      <c r="N27" s="28" cm="1">
        <f t="array" ref="N27">IFERROR(
    _xlfn.XLOOKUP(
        $A27,
        Table1[Location],
        INDEX(Table1[], , MATCH(N$1, Table1[#Headers], 0))
    ),
"")</f>
        <v>11944.631441</v>
      </c>
      <c r="O27" s="28">
        <f t="shared" si="1"/>
        <v>413140.28791599994</v>
      </c>
      <c r="Q27" s="28">
        <f t="shared" si="2"/>
        <v>192.46</v>
      </c>
      <c r="R27" s="28">
        <f t="shared" si="3"/>
        <v>122.43535310999999</v>
      </c>
      <c r="S27" s="28">
        <f t="shared" si="4"/>
        <v>148.79</v>
      </c>
      <c r="T27" s="28">
        <f t="shared" si="5"/>
        <v>414.79121163999997</v>
      </c>
      <c r="U27" s="28">
        <f t="shared" si="6"/>
        <v>432.65000000000003</v>
      </c>
      <c r="V27" s="28">
        <f t="shared" si="7"/>
        <v>336.72</v>
      </c>
      <c r="W27" s="28">
        <f t="shared" si="8"/>
        <v>354.61</v>
      </c>
      <c r="X27" s="28">
        <f t="shared" si="9"/>
        <v>689.13</v>
      </c>
      <c r="Y27" s="28">
        <f t="shared" si="10"/>
        <v>561.26</v>
      </c>
      <c r="Z27" s="28">
        <f t="shared" si="11"/>
        <v>484.76</v>
      </c>
      <c r="AA27" s="28">
        <f t="shared" si="12"/>
        <v>274.35000000000002</v>
      </c>
      <c r="AB27" s="28">
        <f t="shared" si="13"/>
        <v>119.44631441</v>
      </c>
      <c r="AC27" s="28">
        <f t="shared" si="14"/>
        <v>4131.4028791599994</v>
      </c>
    </row>
    <row r="28" spans="1:29" x14ac:dyDescent="0.3">
      <c r="A28" s="29" t="s">
        <v>89</v>
      </c>
      <c r="B28" s="32" t="str" cm="1">
        <f t="array" ref="B28">IFERROR(
    _xlfn.XLOOKUP(
        $A28,
        Table1[Location],
        INDEX(Table1[], , MATCH(B$1, Table1[#Headers], 0))
    ),
"")</f>
        <v>GA</v>
      </c>
      <c r="C28" s="28" cm="1">
        <f t="array" ref="C28">IFERROR(
    _xlfn.XLOOKUP(
        $A28,
        Table1[Location],
        INDEX(Table1[], , MATCH(C$1, Table1[#Headers], 0))
    ),
"")</f>
        <v>17428</v>
      </c>
      <c r="D28" s="28" cm="1">
        <f t="array" ref="D28">IFERROR(
    _xlfn.XLOOKUP(
        $A28,
        Table1[Location],
        INDEX(Table1[], , MATCH(D$1, Table1[#Headers], 0))
    ),
"")</f>
        <v>15436</v>
      </c>
      <c r="E28" s="28" cm="1">
        <f t="array" ref="E28">IFERROR(
    _xlfn.XLOOKUP(
        $A28,
        Table1[Location],
        INDEX(Table1[], , MATCH(E$1, Table1[#Headers], 0))
    ),
"")</f>
        <v>15426</v>
      </c>
      <c r="F28" s="28" cm="1">
        <f t="array" ref="F28">IFERROR(
    _xlfn.XLOOKUP(
        $A28,
        Table1[Location],
        INDEX(Table1[], , MATCH(F$1, Table1[#Headers], 0))
    ),
"")</f>
        <v>13060</v>
      </c>
      <c r="G28" s="28" cm="1">
        <f t="array" ref="G28">IFERROR(
    _xlfn.XLOOKUP(
        $A28,
        Table1[Location],
        INDEX(Table1[], , MATCH(G$1, Table1[#Headers], 0))
    ),
"")</f>
        <v>41020</v>
      </c>
      <c r="H28" s="28" cm="1">
        <f t="array" ref="H28">IFERROR(
    _xlfn.XLOOKUP(
        $A28,
        Table1[Location],
        INDEX(Table1[], , MATCH(H$1, Table1[#Headers], 0))
    ),
"")</f>
        <v>28507</v>
      </c>
      <c r="I28" s="28" cm="1">
        <f t="array" ref="I28">IFERROR(
    _xlfn.XLOOKUP(
        $A28,
        Table1[Location],
        INDEX(Table1[], , MATCH(I$1, Table1[#Headers], 0))
    ),
"")</f>
        <v>32418</v>
      </c>
      <c r="J28" s="28" cm="1">
        <f t="array" ref="J28">IFERROR(
    _xlfn.XLOOKUP(
        $A28,
        Table1[Location],
        INDEX(Table1[], , MATCH(J$1, Table1[#Headers], 0))
    ),
"")</f>
        <v>28930</v>
      </c>
      <c r="K28" s="28" cm="1">
        <f t="array" ref="K28">IFERROR(
    _xlfn.XLOOKUP(
        $A28,
        Table1[Location],
        INDEX(Table1[], , MATCH(K$1, Table1[#Headers], 0))
    ),
"")</f>
        <v>110548</v>
      </c>
      <c r="L28" s="28" cm="1">
        <f t="array" ref="L28">IFERROR(
    _xlfn.XLOOKUP(
        $A28,
        Table1[Location],
        INDEX(Table1[], , MATCH(L$1, Table1[#Headers], 0))
    ),
"")</f>
        <v>18154</v>
      </c>
      <c r="M28" s="28" cm="1">
        <f t="array" ref="M28">IFERROR(
    _xlfn.XLOOKUP(
        $A28,
        Table1[Location],
        INDEX(Table1[], , MATCH(M$1, Table1[#Headers], 0))
    ),
"")</f>
        <v>25478</v>
      </c>
      <c r="N28" s="28" cm="1">
        <f t="array" ref="N28">IFERROR(
    _xlfn.XLOOKUP(
        $A28,
        Table1[Location],
        INDEX(Table1[], , MATCH(N$1, Table1[#Headers], 0))
    ),
"")</f>
        <v>24732</v>
      </c>
      <c r="O28" s="28">
        <f t="shared" si="1"/>
        <v>371137</v>
      </c>
      <c r="Q28" s="28">
        <f t="shared" si="2"/>
        <v>174.28</v>
      </c>
      <c r="R28" s="28">
        <f t="shared" si="3"/>
        <v>154.36000000000001</v>
      </c>
      <c r="S28" s="28">
        <f t="shared" si="4"/>
        <v>154.26</v>
      </c>
      <c r="T28" s="28">
        <f t="shared" si="5"/>
        <v>130.6</v>
      </c>
      <c r="U28" s="28">
        <f t="shared" si="6"/>
        <v>410.2</v>
      </c>
      <c r="V28" s="28">
        <f t="shared" si="7"/>
        <v>285.07</v>
      </c>
      <c r="W28" s="28">
        <f t="shared" si="8"/>
        <v>324.18</v>
      </c>
      <c r="X28" s="28">
        <f t="shared" si="9"/>
        <v>289.3</v>
      </c>
      <c r="Y28" s="28">
        <f t="shared" si="10"/>
        <v>1105.48</v>
      </c>
      <c r="Z28" s="28">
        <f t="shared" si="11"/>
        <v>181.54</v>
      </c>
      <c r="AA28" s="28">
        <f t="shared" si="12"/>
        <v>254.78</v>
      </c>
      <c r="AB28" s="28">
        <f t="shared" si="13"/>
        <v>247.32</v>
      </c>
      <c r="AC28" s="28">
        <f t="shared" si="14"/>
        <v>3711.3700000000003</v>
      </c>
    </row>
    <row r="29" spans="1:29" x14ac:dyDescent="0.3">
      <c r="A29" s="29" t="s">
        <v>90</v>
      </c>
      <c r="B29" s="32" t="str" cm="1">
        <f t="array" ref="B29">IFERROR(
    _xlfn.XLOOKUP(
        $A29,
        Table1[Location],
        INDEX(Table1[], , MATCH(B$1, Table1[#Headers], 0))
    ),
"")</f>
        <v>GA</v>
      </c>
      <c r="C29" s="28" cm="1">
        <f t="array" ref="C29">IFERROR(
    _xlfn.XLOOKUP(
        $A29,
        Table1[Location],
        INDEX(Table1[], , MATCH(C$1, Table1[#Headers], 0))
    ),
"")</f>
        <v>19874</v>
      </c>
      <c r="D29" s="28" cm="1">
        <f t="array" ref="D29">IFERROR(
    _xlfn.XLOOKUP(
        $A29,
        Table1[Location],
        INDEX(Table1[], , MATCH(D$1, Table1[#Headers], 0))
    ),
"")</f>
        <v>10655</v>
      </c>
      <c r="E29" s="28" cm="1">
        <f t="array" ref="E29">IFERROR(
    _xlfn.XLOOKUP(
        $A29,
        Table1[Location],
        INDEX(Table1[], , MATCH(E$1, Table1[#Headers], 0))
    ),
"")</f>
        <v>20423</v>
      </c>
      <c r="F29" s="28" cm="1">
        <f t="array" ref="F29">IFERROR(
    _xlfn.XLOOKUP(
        $A29,
        Table1[Location],
        INDEX(Table1[], , MATCH(F$1, Table1[#Headers], 0))
    ),
"")</f>
        <v>41897</v>
      </c>
      <c r="G29" s="28" cm="1">
        <f t="array" ref="G29">IFERROR(
    _xlfn.XLOOKUP(
        $A29,
        Table1[Location],
        INDEX(Table1[], , MATCH(G$1, Table1[#Headers], 0))
    ),
"")</f>
        <v>37884.351143</v>
      </c>
      <c r="H29" s="28" cm="1">
        <f t="array" ref="H29">IFERROR(
    _xlfn.XLOOKUP(
        $A29,
        Table1[Location],
        INDEX(Table1[], , MATCH(H$1, Table1[#Headers], 0))
    ),
"")</f>
        <v>17433</v>
      </c>
      <c r="I29" s="28" cm="1">
        <f t="array" ref="I29">IFERROR(
    _xlfn.XLOOKUP(
        $A29,
        Table1[Location],
        INDEX(Table1[], , MATCH(I$1, Table1[#Headers], 0))
    ),
"")</f>
        <v>66710</v>
      </c>
      <c r="J29" s="28" cm="1">
        <f t="array" ref="J29">IFERROR(
    _xlfn.XLOOKUP(
        $A29,
        Table1[Location],
        INDEX(Table1[], , MATCH(J$1, Table1[#Headers], 0))
    ),
"")</f>
        <v>74898</v>
      </c>
      <c r="K29" s="28" cm="1">
        <f t="array" ref="K29">IFERROR(
    _xlfn.XLOOKUP(
        $A29,
        Table1[Location],
        INDEX(Table1[], , MATCH(K$1, Table1[#Headers], 0))
    ),
"")</f>
        <v>25177</v>
      </c>
      <c r="L29" s="28" cm="1">
        <f t="array" ref="L29">IFERROR(
    _xlfn.XLOOKUP(
        $A29,
        Table1[Location],
        INDEX(Table1[], , MATCH(L$1, Table1[#Headers], 0))
    ),
"")</f>
        <v>49389</v>
      </c>
      <c r="M29" s="28" cm="1">
        <f t="array" ref="M29">IFERROR(
    _xlfn.XLOOKUP(
        $A29,
        Table1[Location],
        INDEX(Table1[], , MATCH(M$1, Table1[#Headers], 0))
    ),
"")</f>
        <v>17584</v>
      </c>
      <c r="N29" s="28" cm="1">
        <f t="array" ref="N29">IFERROR(
    _xlfn.XLOOKUP(
        $A29,
        Table1[Location],
        INDEX(Table1[], , MATCH(N$1, Table1[#Headers], 0))
    ),
"")</f>
        <v>10249</v>
      </c>
      <c r="O29" s="28">
        <f t="shared" si="1"/>
        <v>392173.35114300001</v>
      </c>
      <c r="Q29" s="28">
        <f t="shared" si="2"/>
        <v>198.74</v>
      </c>
      <c r="R29" s="28">
        <f t="shared" si="3"/>
        <v>106.55</v>
      </c>
      <c r="S29" s="28">
        <f t="shared" si="4"/>
        <v>204.23000000000002</v>
      </c>
      <c r="T29" s="28">
        <f t="shared" si="5"/>
        <v>418.97</v>
      </c>
      <c r="U29" s="28">
        <f t="shared" si="6"/>
        <v>378.84351142999998</v>
      </c>
      <c r="V29" s="28">
        <f t="shared" si="7"/>
        <v>174.33</v>
      </c>
      <c r="W29" s="28">
        <f t="shared" si="8"/>
        <v>667.1</v>
      </c>
      <c r="X29" s="28">
        <f t="shared" si="9"/>
        <v>748.98</v>
      </c>
      <c r="Y29" s="28">
        <f t="shared" si="10"/>
        <v>251.77</v>
      </c>
      <c r="Z29" s="28">
        <f t="shared" si="11"/>
        <v>493.89</v>
      </c>
      <c r="AA29" s="28">
        <f t="shared" si="12"/>
        <v>175.84</v>
      </c>
      <c r="AB29" s="28">
        <f t="shared" si="13"/>
        <v>102.49000000000001</v>
      </c>
      <c r="AC29" s="28">
        <f t="shared" si="14"/>
        <v>3921.7335114300004</v>
      </c>
    </row>
    <row r="30" spans="1:29" x14ac:dyDescent="0.3">
      <c r="A30" s="29" t="s">
        <v>91</v>
      </c>
      <c r="B30" s="32" t="str" cm="1">
        <f t="array" ref="B30">IFERROR(
    _xlfn.XLOOKUP(
        $A30,
        Table1[Location],
        INDEX(Table1[], , MATCH(B$1, Table1[#Headers], 0))
    ),
"")</f>
        <v>ID</v>
      </c>
      <c r="C30" s="28" cm="1">
        <f t="array" ref="C30">IFERROR(
    _xlfn.XLOOKUP(
        $A30,
        Table1[Location],
        INDEX(Table1[], , MATCH(C$1, Table1[#Headers], 0))
    ),
"")</f>
        <v>0</v>
      </c>
      <c r="D30" s="28" cm="1">
        <f t="array" ref="D30">IFERROR(
    _xlfn.XLOOKUP(
        $A30,
        Table1[Location],
        INDEX(Table1[], , MATCH(D$1, Table1[#Headers], 0))
    ),
"")</f>
        <v>0</v>
      </c>
      <c r="E30" s="28" cm="1">
        <f t="array" ref="E30">IFERROR(
    _xlfn.XLOOKUP(
        $A30,
        Table1[Location],
        INDEX(Table1[], , MATCH(E$1, Table1[#Headers], 0))
    ),
"")</f>
        <v>1659.1246249999999</v>
      </c>
      <c r="F30" s="28" cm="1">
        <f t="array" ref="F30">IFERROR(
    _xlfn.XLOOKUP(
        $A30,
        Table1[Location],
        INDEX(Table1[], , MATCH(F$1, Table1[#Headers], 0))
    ),
"")</f>
        <v>15365</v>
      </c>
      <c r="G30" s="28" cm="1">
        <f t="array" ref="G30">IFERROR(
    _xlfn.XLOOKUP(
        $A30,
        Table1[Location],
        INDEX(Table1[], , MATCH(G$1, Table1[#Headers], 0))
    ),
"")</f>
        <v>19212</v>
      </c>
      <c r="H30" s="28" cm="1">
        <f t="array" ref="H30">IFERROR(
    _xlfn.XLOOKUP(
        $A30,
        Table1[Location],
        INDEX(Table1[], , MATCH(H$1, Table1[#Headers], 0))
    ),
"")</f>
        <v>20944</v>
      </c>
      <c r="I30" s="28" cm="1">
        <f t="array" ref="I30">IFERROR(
    _xlfn.XLOOKUP(
        $A30,
        Table1[Location],
        INDEX(Table1[], , MATCH(I$1, Table1[#Headers], 0))
    ),
"")</f>
        <v>15064</v>
      </c>
      <c r="J30" s="28" cm="1">
        <f t="array" ref="J30">IFERROR(
    _xlfn.XLOOKUP(
        $A30,
        Table1[Location],
        INDEX(Table1[], , MATCH(J$1, Table1[#Headers], 0))
    ),
"")</f>
        <v>15204</v>
      </c>
      <c r="K30" s="28" cm="1">
        <f t="array" ref="K30">IFERROR(
    _xlfn.XLOOKUP(
        $A30,
        Table1[Location],
        INDEX(Table1[], , MATCH(K$1, Table1[#Headers], 0))
    ),
"")</f>
        <v>21607</v>
      </c>
      <c r="L30" s="28" cm="1">
        <f t="array" ref="L30">IFERROR(
    _xlfn.XLOOKUP(
        $A30,
        Table1[Location],
        INDEX(Table1[], , MATCH(L$1, Table1[#Headers], 0))
    ),
"")</f>
        <v>10635</v>
      </c>
      <c r="M30" s="28" cm="1">
        <f t="array" ref="M30">IFERROR(
    _xlfn.XLOOKUP(
        $A30,
        Table1[Location],
        INDEX(Table1[], , MATCH(M$1, Table1[#Headers], 0))
    ),
"")</f>
        <v>6500</v>
      </c>
      <c r="N30" s="28" cm="1">
        <f t="array" ref="N30">IFERROR(
    _xlfn.XLOOKUP(
        $A30,
        Table1[Location],
        INDEX(Table1[], , MATCH(N$1, Table1[#Headers], 0))
    ),
"")</f>
        <v>904.97706800000003</v>
      </c>
      <c r="O30" s="28">
        <f t="shared" si="1"/>
        <v>127095.10169299999</v>
      </c>
      <c r="Q30" s="28">
        <f t="shared" si="2"/>
        <v>0</v>
      </c>
      <c r="R30" s="28">
        <f t="shared" si="3"/>
        <v>0</v>
      </c>
      <c r="S30" s="28">
        <f t="shared" si="4"/>
        <v>16.591246250000001</v>
      </c>
      <c r="T30" s="28">
        <f t="shared" si="5"/>
        <v>153.65</v>
      </c>
      <c r="U30" s="28">
        <f t="shared" si="6"/>
        <v>192.12</v>
      </c>
      <c r="V30" s="28">
        <f t="shared" si="7"/>
        <v>209.44</v>
      </c>
      <c r="W30" s="28">
        <f t="shared" si="8"/>
        <v>150.64000000000001</v>
      </c>
      <c r="X30" s="28">
        <f t="shared" si="9"/>
        <v>152.04</v>
      </c>
      <c r="Y30" s="28">
        <f t="shared" si="10"/>
        <v>216.07</v>
      </c>
      <c r="Z30" s="28">
        <f t="shared" si="11"/>
        <v>106.35000000000001</v>
      </c>
      <c r="AA30" s="28">
        <f t="shared" si="12"/>
        <v>65</v>
      </c>
      <c r="AB30" s="28">
        <f t="shared" si="13"/>
        <v>9.04977068</v>
      </c>
      <c r="AC30" s="28">
        <f t="shared" si="14"/>
        <v>1270.9510169299999</v>
      </c>
    </row>
    <row r="31" spans="1:29" x14ac:dyDescent="0.3">
      <c r="A31" s="29" t="s">
        <v>93</v>
      </c>
      <c r="B31" s="32" t="str" cm="1">
        <f t="array" ref="B31">IFERROR(
    _xlfn.XLOOKUP(
        $A31,
        Table1[Location],
        INDEX(Table1[], , MATCH(B$1, Table1[#Headers], 0))
    ),
"")</f>
        <v>IL</v>
      </c>
      <c r="C31" s="28" cm="1">
        <f t="array" ref="C31">IFERROR(
    _xlfn.XLOOKUP(
        $A31,
        Table1[Location],
        INDEX(Table1[], , MATCH(C$1, Table1[#Headers], 0))
    ),
"")</f>
        <v>10520</v>
      </c>
      <c r="D31" s="28" cm="1">
        <f t="array" ref="D31">IFERROR(
    _xlfn.XLOOKUP(
        $A31,
        Table1[Location],
        INDEX(Table1[], , MATCH(D$1, Table1[#Headers], 0))
    ),
"")</f>
        <v>265</v>
      </c>
      <c r="E31" s="28" cm="1">
        <f t="array" ref="E31">IFERROR(
    _xlfn.XLOOKUP(
        $A31,
        Table1[Location],
        INDEX(Table1[], , MATCH(E$1, Table1[#Headers], 0))
    ),
"")</f>
        <v>4716</v>
      </c>
      <c r="F31" s="28" cm="1">
        <f t="array" ref="F31">IFERROR(
    _xlfn.XLOOKUP(
        $A31,
        Table1[Location],
        INDEX(Table1[], , MATCH(F$1, Table1[#Headers], 0))
    ),
"")</f>
        <v>12048</v>
      </c>
      <c r="G31" s="28" cm="1">
        <f t="array" ref="G31">IFERROR(
    _xlfn.XLOOKUP(
        $A31,
        Table1[Location],
        INDEX(Table1[], , MATCH(G$1, Table1[#Headers], 0))
    ),
"")</f>
        <v>16371</v>
      </c>
      <c r="H31" s="28" cm="1">
        <f t="array" ref="H31">IFERROR(
    _xlfn.XLOOKUP(
        $A31,
        Table1[Location],
        INDEX(Table1[], , MATCH(H$1, Table1[#Headers], 0))
    ),
"")</f>
        <v>52108</v>
      </c>
      <c r="I31" s="28" cm="1">
        <f t="array" ref="I31">IFERROR(
    _xlfn.XLOOKUP(
        $A31,
        Table1[Location],
        INDEX(Table1[], , MATCH(I$1, Table1[#Headers], 0))
    ),
"")</f>
        <v>56152</v>
      </c>
      <c r="J31" s="28" cm="1">
        <f t="array" ref="J31">IFERROR(
    _xlfn.XLOOKUP(
        $A31,
        Table1[Location],
        INDEX(Table1[], , MATCH(J$1, Table1[#Headers], 0))
    ),
"")</f>
        <v>32976</v>
      </c>
      <c r="K31" s="28" cm="1">
        <f t="array" ref="K31">IFERROR(
    _xlfn.XLOOKUP(
        $A31,
        Table1[Location],
        INDEX(Table1[], , MATCH(K$1, Table1[#Headers], 0))
    ),
"")</f>
        <v>42881</v>
      </c>
      <c r="L31" s="28" cm="1">
        <f t="array" ref="L31">IFERROR(
    _xlfn.XLOOKUP(
        $A31,
        Table1[Location],
        INDEX(Table1[], , MATCH(L$1, Table1[#Headers], 0))
    ),
"")</f>
        <v>29520</v>
      </c>
      <c r="M31" s="28" cm="1">
        <f t="array" ref="M31">IFERROR(
    _xlfn.XLOOKUP(
        $A31,
        Table1[Location],
        INDEX(Table1[], , MATCH(M$1, Table1[#Headers], 0))
    ),
"")</f>
        <v>20231</v>
      </c>
      <c r="N31" s="28" cm="1">
        <f t="array" ref="N31">IFERROR(
    _xlfn.XLOOKUP(
        $A31,
        Table1[Location],
        INDEX(Table1[], , MATCH(N$1, Table1[#Headers], 0))
    ),
"")</f>
        <v>17240</v>
      </c>
      <c r="O31" s="28">
        <f t="shared" si="1"/>
        <v>295028</v>
      </c>
      <c r="Q31" s="28">
        <f t="shared" si="2"/>
        <v>105.2</v>
      </c>
      <c r="R31" s="28">
        <f t="shared" si="3"/>
        <v>2.65</v>
      </c>
      <c r="S31" s="28">
        <f t="shared" si="4"/>
        <v>47.160000000000004</v>
      </c>
      <c r="T31" s="28">
        <f t="shared" si="5"/>
        <v>120.48</v>
      </c>
      <c r="U31" s="28">
        <f t="shared" si="6"/>
        <v>163.71</v>
      </c>
      <c r="V31" s="28">
        <f t="shared" si="7"/>
        <v>521.08000000000004</v>
      </c>
      <c r="W31" s="28">
        <f t="shared" si="8"/>
        <v>561.52</v>
      </c>
      <c r="X31" s="28">
        <f t="shared" si="9"/>
        <v>329.76</v>
      </c>
      <c r="Y31" s="28">
        <f t="shared" si="10"/>
        <v>428.81</v>
      </c>
      <c r="Z31" s="28">
        <f t="shared" si="11"/>
        <v>295.2</v>
      </c>
      <c r="AA31" s="28">
        <f t="shared" si="12"/>
        <v>202.31</v>
      </c>
      <c r="AB31" s="28">
        <f t="shared" si="13"/>
        <v>172.4</v>
      </c>
      <c r="AC31" s="28">
        <f t="shared" si="14"/>
        <v>2950.28</v>
      </c>
    </row>
    <row r="32" spans="1:29" x14ac:dyDescent="0.3">
      <c r="A32" s="31" t="s">
        <v>95</v>
      </c>
      <c r="B32" s="32" t="str" cm="1">
        <f t="array" ref="B32">IFERROR(
    _xlfn.XLOOKUP(
        $A32,
        Table1[Location],
        INDEX(Table1[], , MATCH(B$1, Table1[#Headers], 0))
    ),
"")</f>
        <v>IL</v>
      </c>
      <c r="C32" s="28" cm="1">
        <f t="array" ref="C32">IFERROR(
    _xlfn.XLOOKUP(
        $A32,
        Table1[Location],
        INDEX(Table1[], , MATCH(C$1, Table1[#Headers], 0))
    ),
"")</f>
        <v>9650</v>
      </c>
      <c r="D32" s="28" cm="1">
        <f t="array" ref="D32">IFERROR(
    _xlfn.XLOOKUP(
        $A32,
        Table1[Location],
        INDEX(Table1[], , MATCH(D$1, Table1[#Headers], 0))
    ),
"")</f>
        <v>0</v>
      </c>
      <c r="E32" s="28" cm="1">
        <f t="array" ref="E32">IFERROR(
    _xlfn.XLOOKUP(
        $A32,
        Table1[Location],
        INDEX(Table1[], , MATCH(E$1, Table1[#Headers], 0))
    ),
"")</f>
        <v>1922.5735050000001</v>
      </c>
      <c r="F32" s="28" cm="1">
        <f t="array" ref="F32">IFERROR(
    _xlfn.XLOOKUP(
        $A32,
        Table1[Location],
        INDEX(Table1[], , MATCH(F$1, Table1[#Headers], 0))
    ),
"")</f>
        <v>1680</v>
      </c>
      <c r="G32" s="28" cm="1">
        <f t="array" ref="G32">IFERROR(
    _xlfn.XLOOKUP(
        $A32,
        Table1[Location],
        INDEX(Table1[], , MATCH(G$1, Table1[#Headers], 0))
    ),
"")</f>
        <v>13306</v>
      </c>
      <c r="H32" s="28" cm="1">
        <f t="array" ref="H32">IFERROR(
    _xlfn.XLOOKUP(
        $A32,
        Table1[Location],
        INDEX(Table1[], , MATCH(H$1, Table1[#Headers], 0))
    ),
"")</f>
        <v>20858</v>
      </c>
      <c r="I32" s="28" cm="1">
        <f t="array" ref="I32">IFERROR(
    _xlfn.XLOOKUP(
        $A32,
        Table1[Location],
        INDEX(Table1[], , MATCH(I$1, Table1[#Headers], 0))
    ),
"")</f>
        <v>45841</v>
      </c>
      <c r="J32" s="28" cm="1">
        <f t="array" ref="J32">IFERROR(
    _xlfn.XLOOKUP(
        $A32,
        Table1[Location],
        INDEX(Table1[], , MATCH(J$1, Table1[#Headers], 0))
    ),
"")</f>
        <v>41696</v>
      </c>
      <c r="K32" s="28" cm="1">
        <f t="array" ref="K32">IFERROR(
    _xlfn.XLOOKUP(
        $A32,
        Table1[Location],
        INDEX(Table1[], , MATCH(K$1, Table1[#Headers], 0))
    ),
"")</f>
        <v>57957</v>
      </c>
      <c r="L32" s="28" cm="1">
        <f t="array" ref="L32">IFERROR(
    _xlfn.XLOOKUP(
        $A32,
        Table1[Location],
        INDEX(Table1[], , MATCH(L$1, Table1[#Headers], 0))
    ),
"")</f>
        <v>35899</v>
      </c>
      <c r="M32" s="28" cm="1">
        <f t="array" ref="M32">IFERROR(
    _xlfn.XLOOKUP(
        $A32,
        Table1[Location],
        INDEX(Table1[], , MATCH(M$1, Table1[#Headers], 0))
    ),
"")</f>
        <v>9660</v>
      </c>
      <c r="N32" s="28" cm="1">
        <f t="array" ref="N32">IFERROR(
    _xlfn.XLOOKUP(
        $A32,
        Table1[Location],
        INDEX(Table1[], , MATCH(N$1, Table1[#Headers], 0))
    ),
"")</f>
        <v>12532</v>
      </c>
      <c r="O32" s="28">
        <f t="shared" si="1"/>
        <v>251001.57350500001</v>
      </c>
      <c r="Q32" s="28">
        <f t="shared" si="2"/>
        <v>96.5</v>
      </c>
      <c r="R32" s="28">
        <f t="shared" si="3"/>
        <v>0</v>
      </c>
      <c r="S32" s="28">
        <f t="shared" si="4"/>
        <v>19.225735050000001</v>
      </c>
      <c r="T32" s="28">
        <f t="shared" si="5"/>
        <v>16.8</v>
      </c>
      <c r="U32" s="28">
        <f t="shared" si="6"/>
        <v>133.06</v>
      </c>
      <c r="V32" s="28">
        <f t="shared" si="7"/>
        <v>208.58</v>
      </c>
      <c r="W32" s="28">
        <f t="shared" si="8"/>
        <v>458.41</v>
      </c>
      <c r="X32" s="28">
        <f t="shared" si="9"/>
        <v>416.96000000000004</v>
      </c>
      <c r="Y32" s="28">
        <f t="shared" si="10"/>
        <v>579.57000000000005</v>
      </c>
      <c r="Z32" s="28">
        <f t="shared" si="11"/>
        <v>358.99</v>
      </c>
      <c r="AA32" s="28">
        <f t="shared" si="12"/>
        <v>96.600000000000009</v>
      </c>
      <c r="AB32" s="28">
        <f t="shared" si="13"/>
        <v>125.32000000000001</v>
      </c>
      <c r="AC32" s="28">
        <f t="shared" si="14"/>
        <v>2510.0157350500003</v>
      </c>
    </row>
    <row r="33" spans="1:29" x14ac:dyDescent="0.3">
      <c r="A33" s="29" t="s">
        <v>96</v>
      </c>
      <c r="B33" s="32" t="str" cm="1">
        <f t="array" ref="B33">IFERROR(
    _xlfn.XLOOKUP(
        $A33,
        Table1[Location],
        INDEX(Table1[], , MATCH(B$1, Table1[#Headers], 0))
    ),
"")</f>
        <v>IL</v>
      </c>
      <c r="C33" s="28" cm="1">
        <f t="array" ref="C33">IFERROR(
    _xlfn.XLOOKUP(
        $A33,
        Table1[Location],
        INDEX(Table1[], , MATCH(C$1, Table1[#Headers], 0))
    ),
"")</f>
        <v>0</v>
      </c>
      <c r="D33" s="28" cm="1">
        <f t="array" ref="D33">IFERROR(
    _xlfn.XLOOKUP(
        $A33,
        Table1[Location],
        INDEX(Table1[], , MATCH(D$1, Table1[#Headers], 0))
    ),
"")</f>
        <v>0</v>
      </c>
      <c r="E33" s="28" cm="1">
        <f t="array" ref="E33">IFERROR(
    _xlfn.XLOOKUP(
        $A33,
        Table1[Location],
        INDEX(Table1[], , MATCH(E$1, Table1[#Headers], 0))
    ),
"")</f>
        <v>2420</v>
      </c>
      <c r="F33" s="28" cm="1">
        <f t="array" ref="F33">IFERROR(
    _xlfn.XLOOKUP(
        $A33,
        Table1[Location],
        INDEX(Table1[], , MATCH(F$1, Table1[#Headers], 0))
    ),
"")</f>
        <v>6644</v>
      </c>
      <c r="G33" s="28" cm="1">
        <f t="array" ref="G33">IFERROR(
    _xlfn.XLOOKUP(
        $A33,
        Table1[Location],
        INDEX(Table1[], , MATCH(G$1, Table1[#Headers], 0))
    ),
"")</f>
        <v>13123</v>
      </c>
      <c r="H33" s="28" cm="1">
        <f t="array" ref="H33">IFERROR(
    _xlfn.XLOOKUP(
        $A33,
        Table1[Location],
        INDEX(Table1[], , MATCH(H$1, Table1[#Headers], 0))
    ),
"")</f>
        <v>27077</v>
      </c>
      <c r="I33" s="28" cm="1">
        <f t="array" ref="I33">IFERROR(
    _xlfn.XLOOKUP(
        $A33,
        Table1[Location],
        INDEX(Table1[], , MATCH(I$1, Table1[#Headers], 0))
    ),
"")</f>
        <v>37637</v>
      </c>
      <c r="J33" s="28" cm="1">
        <f t="array" ref="J33">IFERROR(
    _xlfn.XLOOKUP(
        $A33,
        Table1[Location],
        INDEX(Table1[], , MATCH(J$1, Table1[#Headers], 0))
    ),
"")</f>
        <v>38471.359491000003</v>
      </c>
      <c r="K33" s="28" cm="1">
        <f t="array" ref="K33">IFERROR(
    _xlfn.XLOOKUP(
        $A33,
        Table1[Location],
        INDEX(Table1[], , MATCH(K$1, Table1[#Headers], 0))
    ),
"")</f>
        <v>18824</v>
      </c>
      <c r="L33" s="28" cm="1">
        <f t="array" ref="L33">IFERROR(
    _xlfn.XLOOKUP(
        $A33,
        Table1[Location],
        INDEX(Table1[], , MATCH(L$1, Table1[#Headers], 0))
    ),
"")</f>
        <v>13252</v>
      </c>
      <c r="M33" s="28" cm="1">
        <f t="array" ref="M33">IFERROR(
    _xlfn.XLOOKUP(
        $A33,
        Table1[Location],
        INDEX(Table1[], , MATCH(M$1, Table1[#Headers], 0))
    ),
"")</f>
        <v>31110</v>
      </c>
      <c r="N33" s="28" cm="1">
        <f t="array" ref="N33">IFERROR(
    _xlfn.XLOOKUP(
        $A33,
        Table1[Location],
        INDEX(Table1[], , MATCH(N$1, Table1[#Headers], 0))
    ),
"")</f>
        <v>12036</v>
      </c>
      <c r="O33" s="28">
        <f t="shared" si="1"/>
        <v>200594.35949100001</v>
      </c>
      <c r="Q33" s="28">
        <f t="shared" si="2"/>
        <v>0</v>
      </c>
      <c r="R33" s="28">
        <f t="shared" si="3"/>
        <v>0</v>
      </c>
      <c r="S33" s="28">
        <f t="shared" si="4"/>
        <v>24.2</v>
      </c>
      <c r="T33" s="28">
        <f t="shared" si="5"/>
        <v>66.44</v>
      </c>
      <c r="U33" s="28">
        <f t="shared" si="6"/>
        <v>131.22999999999999</v>
      </c>
      <c r="V33" s="28">
        <f t="shared" si="7"/>
        <v>270.77</v>
      </c>
      <c r="W33" s="28">
        <f t="shared" si="8"/>
        <v>376.37</v>
      </c>
      <c r="X33" s="28">
        <f t="shared" si="9"/>
        <v>384.71359491000004</v>
      </c>
      <c r="Y33" s="28">
        <f t="shared" si="10"/>
        <v>188.24</v>
      </c>
      <c r="Z33" s="28">
        <f t="shared" si="11"/>
        <v>132.52000000000001</v>
      </c>
      <c r="AA33" s="28">
        <f t="shared" si="12"/>
        <v>311.10000000000002</v>
      </c>
      <c r="AB33" s="28">
        <f t="shared" si="13"/>
        <v>120.36</v>
      </c>
      <c r="AC33" s="28">
        <f t="shared" si="14"/>
        <v>2005.94359491</v>
      </c>
    </row>
    <row r="34" spans="1:29" x14ac:dyDescent="0.3">
      <c r="A34" s="29" t="s">
        <v>97</v>
      </c>
      <c r="B34" s="32" t="str" cm="1">
        <f t="array" ref="B34">IFERROR(
    _xlfn.XLOOKUP(
        $A34,
        Table1[Location],
        INDEX(Table1[], , MATCH(B$1, Table1[#Headers], 0))
    ),
"")</f>
        <v>IL</v>
      </c>
      <c r="C34" s="28" cm="1">
        <f t="array" ref="C34">IFERROR(
    _xlfn.XLOOKUP(
        $A34,
        Table1[Location],
        INDEX(Table1[], , MATCH(C$1, Table1[#Headers], 0))
    ),
"")</f>
        <v>380.29465900000002</v>
      </c>
      <c r="D34" s="28" cm="1">
        <f t="array" ref="D34">IFERROR(
    _xlfn.XLOOKUP(
        $A34,
        Table1[Location],
        INDEX(Table1[], , MATCH(D$1, Table1[#Headers], 0))
    ),
"")</f>
        <v>0</v>
      </c>
      <c r="E34" s="28" cm="1">
        <f t="array" ref="E34">IFERROR(
    _xlfn.XLOOKUP(
        $A34,
        Table1[Location],
        INDEX(Table1[], , MATCH(E$1, Table1[#Headers], 0))
    ),
"")</f>
        <v>4282</v>
      </c>
      <c r="F34" s="28" cm="1">
        <f t="array" ref="F34">IFERROR(
    _xlfn.XLOOKUP(
        $A34,
        Table1[Location],
        INDEX(Table1[], , MATCH(F$1, Table1[#Headers], 0))
    ),
"")</f>
        <v>5865</v>
      </c>
      <c r="G34" s="28" cm="1">
        <f t="array" ref="G34">IFERROR(
    _xlfn.XLOOKUP(
        $A34,
        Table1[Location],
        INDEX(Table1[], , MATCH(G$1, Table1[#Headers], 0))
    ),
"")</f>
        <v>9654</v>
      </c>
      <c r="H34" s="28" cm="1">
        <f t="array" ref="H34">IFERROR(
    _xlfn.XLOOKUP(
        $A34,
        Table1[Location],
        INDEX(Table1[], , MATCH(H$1, Table1[#Headers], 0))
    ),
"")</f>
        <v>14652</v>
      </c>
      <c r="I34" s="28" cm="1">
        <f t="array" ref="I34">IFERROR(
    _xlfn.XLOOKUP(
        $A34,
        Table1[Location],
        INDEX(Table1[], , MATCH(I$1, Table1[#Headers], 0))
    ),
"")</f>
        <v>31975.856415999999</v>
      </c>
      <c r="J34" s="28" cm="1">
        <f t="array" ref="J34">IFERROR(
    _xlfn.XLOOKUP(
        $A34,
        Table1[Location],
        INDEX(Table1[], , MATCH(J$1, Table1[#Headers], 0))
    ),
"")</f>
        <v>15424</v>
      </c>
      <c r="K34" s="28" cm="1">
        <f t="array" ref="K34">IFERROR(
    _xlfn.XLOOKUP(
        $A34,
        Table1[Location],
        INDEX(Table1[], , MATCH(K$1, Table1[#Headers], 0))
    ),
"")</f>
        <v>16253</v>
      </c>
      <c r="L34" s="28" cm="1">
        <f t="array" ref="L34">IFERROR(
    _xlfn.XLOOKUP(
        $A34,
        Table1[Location],
        INDEX(Table1[], , MATCH(L$1, Table1[#Headers], 0))
    ),
"")</f>
        <v>13252</v>
      </c>
      <c r="M34" s="28" cm="1">
        <f t="array" ref="M34">IFERROR(
    _xlfn.XLOOKUP(
        $A34,
        Table1[Location],
        INDEX(Table1[], , MATCH(M$1, Table1[#Headers], 0))
    ),
"")</f>
        <v>8221</v>
      </c>
      <c r="N34" s="28" cm="1">
        <f t="array" ref="N34">IFERROR(
    _xlfn.XLOOKUP(
        $A34,
        Table1[Location],
        INDEX(Table1[], , MATCH(N$1, Table1[#Headers], 0))
    ),
"")</f>
        <v>9150.3236909999996</v>
      </c>
      <c r="O34" s="28">
        <f t="shared" si="1"/>
        <v>129109.474766</v>
      </c>
      <c r="Q34" s="28">
        <f t="shared" si="2"/>
        <v>3.8029465900000003</v>
      </c>
      <c r="R34" s="28">
        <f t="shared" si="3"/>
        <v>0</v>
      </c>
      <c r="S34" s="28">
        <f t="shared" si="4"/>
        <v>42.82</v>
      </c>
      <c r="T34" s="28">
        <f t="shared" si="5"/>
        <v>58.65</v>
      </c>
      <c r="U34" s="28">
        <f t="shared" si="6"/>
        <v>96.54</v>
      </c>
      <c r="V34" s="28">
        <f t="shared" si="7"/>
        <v>146.52000000000001</v>
      </c>
      <c r="W34" s="28">
        <f t="shared" si="8"/>
        <v>319.75856415999999</v>
      </c>
      <c r="X34" s="28">
        <f t="shared" si="9"/>
        <v>154.24</v>
      </c>
      <c r="Y34" s="28">
        <f t="shared" si="10"/>
        <v>162.53</v>
      </c>
      <c r="Z34" s="28">
        <f t="shared" si="11"/>
        <v>132.52000000000001</v>
      </c>
      <c r="AA34" s="28">
        <f t="shared" si="12"/>
        <v>82.210000000000008</v>
      </c>
      <c r="AB34" s="28">
        <f t="shared" si="13"/>
        <v>91.503236909999998</v>
      </c>
      <c r="AC34" s="28">
        <f t="shared" si="14"/>
        <v>1291.0947476599999</v>
      </c>
    </row>
    <row r="35" spans="1:29" x14ac:dyDescent="0.3">
      <c r="A35" s="29" t="s">
        <v>98</v>
      </c>
      <c r="B35" s="32" t="str" cm="1">
        <f t="array" ref="B35">IFERROR(
    _xlfn.XLOOKUP(
        $A35,
        Table1[Location],
        INDEX(Table1[], , MATCH(B$1, Table1[#Headers], 0))
    ),
"")</f>
        <v>IN</v>
      </c>
      <c r="C35" s="28" cm="1">
        <f t="array" ref="C35">IFERROR(
    _xlfn.XLOOKUP(
        $A35,
        Table1[Location],
        INDEX(Table1[], , MATCH(C$1, Table1[#Headers], 0))
    ),
"")</f>
        <v>0</v>
      </c>
      <c r="D35" s="28" cm="1">
        <f t="array" ref="D35">IFERROR(
    _xlfn.XLOOKUP(
        $A35,
        Table1[Location],
        INDEX(Table1[], , MATCH(D$1, Table1[#Headers], 0))
    ),
"")</f>
        <v>0</v>
      </c>
      <c r="E35" s="28" cm="1">
        <f t="array" ref="E35">IFERROR(
    _xlfn.XLOOKUP(
        $A35,
        Table1[Location],
        INDEX(Table1[], , MATCH(E$1, Table1[#Headers], 0))
    ),
"")</f>
        <v>0</v>
      </c>
      <c r="F35" s="28" cm="1">
        <f t="array" ref="F35">IFERROR(
    _xlfn.XLOOKUP(
        $A35,
        Table1[Location],
        INDEX(Table1[], , MATCH(F$1, Table1[#Headers], 0))
    ),
"")</f>
        <v>0</v>
      </c>
      <c r="G35" s="28" cm="1">
        <f t="array" ref="G35">IFERROR(
    _xlfn.XLOOKUP(
        $A35,
        Table1[Location],
        INDEX(Table1[], , MATCH(G$1, Table1[#Headers], 0))
    ),
"")</f>
        <v>0</v>
      </c>
      <c r="H35" s="28" cm="1">
        <f t="array" ref="H35">IFERROR(
    _xlfn.XLOOKUP(
        $A35,
        Table1[Location],
        INDEX(Table1[], , MATCH(H$1, Table1[#Headers], 0))
    ),
"")</f>
        <v>0</v>
      </c>
      <c r="I35" s="28" cm="1">
        <f t="array" ref="I35">IFERROR(
    _xlfn.XLOOKUP(
        $A35,
        Table1[Location],
        INDEX(Table1[], , MATCH(I$1, Table1[#Headers], 0))
    ),
"")</f>
        <v>0</v>
      </c>
      <c r="J35" s="28" cm="1">
        <f t="array" ref="J35">IFERROR(
    _xlfn.XLOOKUP(
        $A35,
        Table1[Location],
        INDEX(Table1[], , MATCH(J$1, Table1[#Headers], 0))
    ),
"")</f>
        <v>0</v>
      </c>
      <c r="K35" s="28" cm="1">
        <f t="array" ref="K35">IFERROR(
    _xlfn.XLOOKUP(
        $A35,
        Table1[Location],
        INDEX(Table1[], , MATCH(K$1, Table1[#Headers], 0))
    ),
"")</f>
        <v>0</v>
      </c>
      <c r="L35" s="28" cm="1">
        <f t="array" ref="L35">IFERROR(
    _xlfn.XLOOKUP(
        $A35,
        Table1[Location],
        INDEX(Table1[], , MATCH(L$1, Table1[#Headers], 0))
    ),
"")</f>
        <v>0</v>
      </c>
      <c r="M35" s="28" cm="1">
        <f t="array" ref="M35">IFERROR(
    _xlfn.XLOOKUP(
        $A35,
        Table1[Location],
        INDEX(Table1[], , MATCH(M$1, Table1[#Headers], 0))
    ),
"")</f>
        <v>0</v>
      </c>
      <c r="N35" s="28" cm="1">
        <f t="array" ref="N35">IFERROR(
    _xlfn.XLOOKUP(
        $A35,
        Table1[Location],
        INDEX(Table1[], , MATCH(N$1, Table1[#Headers], 0))
    ),
"")</f>
        <v>0</v>
      </c>
      <c r="O35" s="28">
        <f t="shared" si="1"/>
        <v>0</v>
      </c>
      <c r="Q35" s="28">
        <f t="shared" si="2"/>
        <v>0</v>
      </c>
      <c r="R35" s="28">
        <f t="shared" si="3"/>
        <v>0</v>
      </c>
      <c r="S35" s="28">
        <f t="shared" si="4"/>
        <v>0</v>
      </c>
      <c r="T35" s="28">
        <f t="shared" si="5"/>
        <v>0</v>
      </c>
      <c r="U35" s="28">
        <f t="shared" si="6"/>
        <v>0</v>
      </c>
      <c r="V35" s="28">
        <f t="shared" si="7"/>
        <v>0</v>
      </c>
      <c r="W35" s="28">
        <f t="shared" si="8"/>
        <v>0</v>
      </c>
      <c r="X35" s="28">
        <f t="shared" si="9"/>
        <v>0</v>
      </c>
      <c r="Y35" s="28">
        <f t="shared" si="10"/>
        <v>0</v>
      </c>
      <c r="Z35" s="28">
        <f t="shared" si="11"/>
        <v>0</v>
      </c>
      <c r="AA35" s="28">
        <f t="shared" si="12"/>
        <v>0</v>
      </c>
      <c r="AB35" s="28">
        <f t="shared" si="13"/>
        <v>0</v>
      </c>
      <c r="AC35" s="28">
        <f t="shared" si="14"/>
        <v>0</v>
      </c>
    </row>
    <row r="36" spans="1:29" x14ac:dyDescent="0.3">
      <c r="A36" s="29" t="s">
        <v>100</v>
      </c>
      <c r="B36" s="32" t="str" cm="1">
        <f t="array" ref="B36">IFERROR(
    _xlfn.XLOOKUP(
        $A36,
        Table1[Location],
        INDEX(Table1[], , MATCH(B$1, Table1[#Headers], 0))
    ),
"")</f>
        <v>KS</v>
      </c>
      <c r="C36" s="28" cm="1">
        <f t="array" ref="C36">IFERROR(
    _xlfn.XLOOKUP(
        $A36,
        Table1[Location],
        INDEX(Table1[], , MATCH(C$1, Table1[#Headers], 0))
    ),
"")</f>
        <v>0</v>
      </c>
      <c r="D36" s="28" cm="1">
        <f t="array" ref="D36">IFERROR(
    _xlfn.XLOOKUP(
        $A36,
        Table1[Location],
        INDEX(Table1[], , MATCH(D$1, Table1[#Headers], 0))
    ),
"")</f>
        <v>0</v>
      </c>
      <c r="E36" s="28" cm="1">
        <f t="array" ref="E36">IFERROR(
    _xlfn.XLOOKUP(
        $A36,
        Table1[Location],
        INDEX(Table1[], , MATCH(E$1, Table1[#Headers], 0))
    ),
"")</f>
        <v>0</v>
      </c>
      <c r="F36" s="28" cm="1">
        <f t="array" ref="F36">IFERROR(
    _xlfn.XLOOKUP(
        $A36,
        Table1[Location],
        INDEX(Table1[], , MATCH(F$1, Table1[#Headers], 0))
    ),
"")</f>
        <v>0</v>
      </c>
      <c r="G36" s="28" cm="1">
        <f t="array" ref="G36">IFERROR(
    _xlfn.XLOOKUP(
        $A36,
        Table1[Location],
        INDEX(Table1[], , MATCH(G$1, Table1[#Headers], 0))
    ),
"")</f>
        <v>0</v>
      </c>
      <c r="H36" s="28" cm="1">
        <f t="array" ref="H36">IFERROR(
    _xlfn.XLOOKUP(
        $A36,
        Table1[Location],
        INDEX(Table1[], , MATCH(H$1, Table1[#Headers], 0))
    ),
"")</f>
        <v>0</v>
      </c>
      <c r="I36" s="28" cm="1">
        <f t="array" ref="I36">IFERROR(
    _xlfn.XLOOKUP(
        $A36,
        Table1[Location],
        INDEX(Table1[], , MATCH(I$1, Table1[#Headers], 0))
    ),
"")</f>
        <v>0</v>
      </c>
      <c r="J36" s="28" cm="1">
        <f t="array" ref="J36">IFERROR(
    _xlfn.XLOOKUP(
        $A36,
        Table1[Location],
        INDEX(Table1[], , MATCH(J$1, Table1[#Headers], 0))
    ),
"")</f>
        <v>0</v>
      </c>
      <c r="K36" s="28" cm="1">
        <f t="array" ref="K36">IFERROR(
    _xlfn.XLOOKUP(
        $A36,
        Table1[Location],
        INDEX(Table1[], , MATCH(K$1, Table1[#Headers], 0))
    ),
"")</f>
        <v>0</v>
      </c>
      <c r="L36" s="28" cm="1">
        <f t="array" ref="L36">IFERROR(
    _xlfn.XLOOKUP(
        $A36,
        Table1[Location],
        INDEX(Table1[], , MATCH(L$1, Table1[#Headers], 0))
    ),
"")</f>
        <v>0</v>
      </c>
      <c r="M36" s="28" cm="1">
        <f t="array" ref="M36">IFERROR(
    _xlfn.XLOOKUP(
        $A36,
        Table1[Location],
        INDEX(Table1[], , MATCH(M$1, Table1[#Headers], 0))
    ),
"")</f>
        <v>0</v>
      </c>
      <c r="N36" s="28" cm="1">
        <f t="array" ref="N36">IFERROR(
    _xlfn.XLOOKUP(
        $A36,
        Table1[Location],
        INDEX(Table1[], , MATCH(N$1, Table1[#Headers], 0))
    ),
"")</f>
        <v>0</v>
      </c>
      <c r="O36" s="28">
        <f t="shared" si="1"/>
        <v>0</v>
      </c>
      <c r="Q36" s="28">
        <f t="shared" si="2"/>
        <v>0</v>
      </c>
      <c r="R36" s="28">
        <f t="shared" si="3"/>
        <v>0</v>
      </c>
      <c r="S36" s="28">
        <f t="shared" si="4"/>
        <v>0</v>
      </c>
      <c r="T36" s="28">
        <f t="shared" si="5"/>
        <v>0</v>
      </c>
      <c r="U36" s="28">
        <f t="shared" si="6"/>
        <v>0</v>
      </c>
      <c r="V36" s="28">
        <f t="shared" si="7"/>
        <v>0</v>
      </c>
      <c r="W36" s="28">
        <f t="shared" si="8"/>
        <v>0</v>
      </c>
      <c r="X36" s="28">
        <f t="shared" si="9"/>
        <v>0</v>
      </c>
      <c r="Y36" s="28">
        <f t="shared" si="10"/>
        <v>0</v>
      </c>
      <c r="Z36" s="28">
        <f t="shared" si="11"/>
        <v>0</v>
      </c>
      <c r="AA36" s="28">
        <f t="shared" si="12"/>
        <v>0</v>
      </c>
      <c r="AB36" s="28">
        <f t="shared" si="13"/>
        <v>0</v>
      </c>
      <c r="AC36" s="28">
        <f t="shared" si="14"/>
        <v>0</v>
      </c>
    </row>
    <row r="37" spans="1:29" x14ac:dyDescent="0.3">
      <c r="A37" s="29" t="s">
        <v>102</v>
      </c>
      <c r="B37" s="32" t="str" cm="1">
        <f t="array" ref="B37">IFERROR(
    _xlfn.XLOOKUP(
        $A37,
        Table1[Location],
        INDEX(Table1[], , MATCH(B$1, Table1[#Headers], 0))
    ),
"")</f>
        <v>KY</v>
      </c>
      <c r="C37" s="28" cm="1">
        <f t="array" ref="C37">IFERROR(
    _xlfn.XLOOKUP(
        $A37,
        Table1[Location],
        INDEX(Table1[], , MATCH(C$1, Table1[#Headers], 0))
    ),
"")</f>
        <v>15377</v>
      </c>
      <c r="D37" s="28" cm="1">
        <f t="array" ref="D37">IFERROR(
    _xlfn.XLOOKUP(
        $A37,
        Table1[Location],
        INDEX(Table1[], , MATCH(D$1, Table1[#Headers], 0))
    ),
"")</f>
        <v>2143</v>
      </c>
      <c r="E37" s="28" cm="1">
        <f t="array" ref="E37">IFERROR(
    _xlfn.XLOOKUP(
        $A37,
        Table1[Location],
        INDEX(Table1[], , MATCH(E$1, Table1[#Headers], 0))
    ),
"")</f>
        <v>10929</v>
      </c>
      <c r="F37" s="28" cm="1">
        <f t="array" ref="F37">IFERROR(
    _xlfn.XLOOKUP(
        $A37,
        Table1[Location],
        INDEX(Table1[], , MATCH(F$1, Table1[#Headers], 0))
    ),
"")</f>
        <v>17273</v>
      </c>
      <c r="G37" s="28" cm="1">
        <f t="array" ref="G37">IFERROR(
    _xlfn.XLOOKUP(
        $A37,
        Table1[Location],
        INDEX(Table1[], , MATCH(G$1, Table1[#Headers], 0))
    ),
"")</f>
        <v>34359</v>
      </c>
      <c r="H37" s="28" cm="1">
        <f t="array" ref="H37">IFERROR(
    _xlfn.XLOOKUP(
        $A37,
        Table1[Location],
        INDEX(Table1[], , MATCH(H$1, Table1[#Headers], 0))
    ),
"")</f>
        <v>24801</v>
      </c>
      <c r="I37" s="28" cm="1">
        <f t="array" ref="I37">IFERROR(
    _xlfn.XLOOKUP(
        $A37,
        Table1[Location],
        INDEX(Table1[], , MATCH(I$1, Table1[#Headers], 0))
    ),
"")</f>
        <v>36234</v>
      </c>
      <c r="J37" s="28" cm="1">
        <f t="array" ref="J37">IFERROR(
    _xlfn.XLOOKUP(
        $A37,
        Table1[Location],
        INDEX(Table1[], , MATCH(J$1, Table1[#Headers], 0))
    ),
"")</f>
        <v>46221</v>
      </c>
      <c r="K37" s="28" cm="1">
        <f t="array" ref="K37">IFERROR(
    _xlfn.XLOOKUP(
        $A37,
        Table1[Location],
        INDEX(Table1[], , MATCH(K$1, Table1[#Headers], 0))
    ),
"")</f>
        <v>31729.762986000002</v>
      </c>
      <c r="L37" s="28" cm="1">
        <f t="array" ref="L37">IFERROR(
    _xlfn.XLOOKUP(
        $A37,
        Table1[Location],
        INDEX(Table1[], , MATCH(L$1, Table1[#Headers], 0))
    ),
"")</f>
        <v>19799</v>
      </c>
      <c r="M37" s="28" cm="1">
        <f t="array" ref="M37">IFERROR(
    _xlfn.XLOOKUP(
        $A37,
        Table1[Location],
        INDEX(Table1[], , MATCH(M$1, Table1[#Headers], 0))
    ),
"")</f>
        <v>14203</v>
      </c>
      <c r="N37" s="28" cm="1">
        <f t="array" ref="N37">IFERROR(
    _xlfn.XLOOKUP(
        $A37,
        Table1[Location],
        INDEX(Table1[], , MATCH(N$1, Table1[#Headers], 0))
    ),
"")</f>
        <v>8717</v>
      </c>
      <c r="O37" s="28">
        <f t="shared" si="1"/>
        <v>261785.76298599999</v>
      </c>
      <c r="Q37" s="28">
        <f t="shared" si="2"/>
        <v>153.77000000000001</v>
      </c>
      <c r="R37" s="28">
        <f t="shared" si="3"/>
        <v>21.43</v>
      </c>
      <c r="S37" s="28">
        <f t="shared" si="4"/>
        <v>109.29</v>
      </c>
      <c r="T37" s="28">
        <f t="shared" si="5"/>
        <v>172.73</v>
      </c>
      <c r="U37" s="28">
        <f t="shared" si="6"/>
        <v>343.59000000000003</v>
      </c>
      <c r="V37" s="28">
        <f t="shared" si="7"/>
        <v>248.01000000000002</v>
      </c>
      <c r="W37" s="28">
        <f t="shared" si="8"/>
        <v>362.34000000000003</v>
      </c>
      <c r="X37" s="28">
        <f t="shared" si="9"/>
        <v>462.21000000000004</v>
      </c>
      <c r="Y37" s="28">
        <f t="shared" si="10"/>
        <v>317.29762986000003</v>
      </c>
      <c r="Z37" s="28">
        <f t="shared" si="11"/>
        <v>197.99</v>
      </c>
      <c r="AA37" s="28">
        <f t="shared" si="12"/>
        <v>142.03</v>
      </c>
      <c r="AB37" s="28">
        <f t="shared" si="13"/>
        <v>87.17</v>
      </c>
      <c r="AC37" s="28">
        <f t="shared" si="14"/>
        <v>2617.8576298600005</v>
      </c>
    </row>
    <row r="38" spans="1:29" x14ac:dyDescent="0.3">
      <c r="A38" s="29" t="s">
        <v>104</v>
      </c>
      <c r="B38" s="32" t="str" cm="1">
        <f t="array" ref="B38">IFERROR(
    _xlfn.XLOOKUP(
        $A38,
        Table1[Location],
        INDEX(Table1[], , MATCH(B$1, Table1[#Headers], 0))
    ),
"")</f>
        <v>LA</v>
      </c>
      <c r="C38" s="28" cm="1">
        <f t="array" ref="C38">IFERROR(
    _xlfn.XLOOKUP(
        $A38,
        Table1[Location],
        INDEX(Table1[], , MATCH(C$1, Table1[#Headers], 0))
    ),
"")</f>
        <v>267133</v>
      </c>
      <c r="D38" s="28" cm="1">
        <f t="array" ref="D38">IFERROR(
    _xlfn.XLOOKUP(
        $A38,
        Table1[Location],
        INDEX(Table1[], , MATCH(D$1, Table1[#Headers], 0))
    ),
"")</f>
        <v>16931</v>
      </c>
      <c r="E38" s="28" cm="1">
        <f t="array" ref="E38">IFERROR(
    _xlfn.XLOOKUP(
        $A38,
        Table1[Location],
        INDEX(Table1[], , MATCH(E$1, Table1[#Headers], 0))
    ),
"")</f>
        <v>21278</v>
      </c>
      <c r="F38" s="28" cm="1">
        <f t="array" ref="F38">IFERROR(
    _xlfn.XLOOKUP(
        $A38,
        Table1[Location],
        INDEX(Table1[], , MATCH(F$1, Table1[#Headers], 0))
    ),
"")</f>
        <v>24568</v>
      </c>
      <c r="G38" s="28" cm="1">
        <f t="array" ref="G38">IFERROR(
    _xlfn.XLOOKUP(
        $A38,
        Table1[Location],
        INDEX(Table1[], , MATCH(G$1, Table1[#Headers], 0))
    ),
"")</f>
        <v>14165</v>
      </c>
      <c r="H38" s="28" cm="1">
        <f t="array" ref="H38">IFERROR(
    _xlfn.XLOOKUP(
        $A38,
        Table1[Location],
        INDEX(Table1[], , MATCH(H$1, Table1[#Headers], 0))
    ),
"")</f>
        <v>11805</v>
      </c>
      <c r="I38" s="28" cm="1">
        <f t="array" ref="I38">IFERROR(
    _xlfn.XLOOKUP(
        $A38,
        Table1[Location],
        INDEX(Table1[], , MATCH(I$1, Table1[#Headers], 0))
    ),
"")</f>
        <v>88766</v>
      </c>
      <c r="J38" s="28" cm="1">
        <f t="array" ref="J38">IFERROR(
    _xlfn.XLOOKUP(
        $A38,
        Table1[Location],
        INDEX(Table1[], , MATCH(J$1, Table1[#Headers], 0))
    ),
"")</f>
        <v>40820</v>
      </c>
      <c r="K38" s="28" cm="1">
        <f t="array" ref="K38">IFERROR(
    _xlfn.XLOOKUP(
        $A38,
        Table1[Location],
        INDEX(Table1[], , MATCH(K$1, Table1[#Headers], 0))
    ),
"")</f>
        <v>8191.4502110000003</v>
      </c>
      <c r="L38" s="28" cm="1">
        <f t="array" ref="L38">IFERROR(
    _xlfn.XLOOKUP(
        $A38,
        Table1[Location],
        INDEX(Table1[], , MATCH(L$1, Table1[#Headers], 0))
    ),
"")</f>
        <v>19587</v>
      </c>
      <c r="M38" s="28" cm="1">
        <f t="array" ref="M38">IFERROR(
    _xlfn.XLOOKUP(
        $A38,
        Table1[Location],
        INDEX(Table1[], , MATCH(M$1, Table1[#Headers], 0))
    ),
"")</f>
        <v>36887</v>
      </c>
      <c r="N38" s="28" cm="1">
        <f t="array" ref="N38">IFERROR(
    _xlfn.XLOOKUP(
        $A38,
        Table1[Location],
        INDEX(Table1[], , MATCH(N$1, Table1[#Headers], 0))
    ),
"")</f>
        <v>7835</v>
      </c>
      <c r="O38" s="28">
        <f t="shared" si="1"/>
        <v>557966.45021099993</v>
      </c>
      <c r="Q38" s="28">
        <f t="shared" si="2"/>
        <v>2671.33</v>
      </c>
      <c r="R38" s="28">
        <f t="shared" si="3"/>
        <v>169.31</v>
      </c>
      <c r="S38" s="28">
        <f t="shared" si="4"/>
        <v>212.78</v>
      </c>
      <c r="T38" s="28">
        <f t="shared" si="5"/>
        <v>245.68</v>
      </c>
      <c r="U38" s="28">
        <f t="shared" si="6"/>
        <v>141.65</v>
      </c>
      <c r="V38" s="28">
        <f t="shared" si="7"/>
        <v>118.05</v>
      </c>
      <c r="W38" s="28">
        <f t="shared" si="8"/>
        <v>887.66</v>
      </c>
      <c r="X38" s="28">
        <f t="shared" si="9"/>
        <v>408.2</v>
      </c>
      <c r="Y38" s="28">
        <f t="shared" si="10"/>
        <v>81.914502110000001</v>
      </c>
      <c r="Z38" s="28">
        <f t="shared" si="11"/>
        <v>195.87</v>
      </c>
      <c r="AA38" s="28">
        <f t="shared" si="12"/>
        <v>368.87</v>
      </c>
      <c r="AB38" s="28">
        <f t="shared" si="13"/>
        <v>78.350000000000009</v>
      </c>
      <c r="AC38" s="28">
        <f t="shared" si="14"/>
        <v>5579.6645021100003</v>
      </c>
    </row>
    <row r="39" spans="1:29" x14ac:dyDescent="0.3">
      <c r="A39" s="31" t="s">
        <v>106</v>
      </c>
      <c r="B39" s="32" t="str" cm="1">
        <f t="array" ref="B39">IFERROR(
    _xlfn.XLOOKUP(
        $A39,
        Table1[Location],
        INDEX(Table1[], , MATCH(B$1, Table1[#Headers], 0))
    ),
"")</f>
        <v>MA</v>
      </c>
      <c r="C39" s="28" cm="1">
        <f t="array" ref="C39">IFERROR(
    _xlfn.XLOOKUP(
        $A39,
        Table1[Location],
        INDEX(Table1[], , MATCH(C$1, Table1[#Headers], 0))
    ),
"")</f>
        <v>0</v>
      </c>
      <c r="D39" s="28" cm="1">
        <f t="array" ref="D39">IFERROR(
    _xlfn.XLOOKUP(
        $A39,
        Table1[Location],
        INDEX(Table1[], , MATCH(D$1, Table1[#Headers], 0))
    ),
"")</f>
        <v>0</v>
      </c>
      <c r="E39" s="28" cm="1">
        <f t="array" ref="E39">IFERROR(
    _xlfn.XLOOKUP(
        $A39,
        Table1[Location],
        INDEX(Table1[], , MATCH(E$1, Table1[#Headers], 0))
    ),
"")</f>
        <v>12799</v>
      </c>
      <c r="F39" s="28" cm="1">
        <f t="array" ref="F39">IFERROR(
    _xlfn.XLOOKUP(
        $A39,
        Table1[Location],
        INDEX(Table1[], , MATCH(F$1, Table1[#Headers], 0))
    ),
"")</f>
        <v>20487</v>
      </c>
      <c r="G39" s="28" cm="1">
        <f t="array" ref="G39">IFERROR(
    _xlfn.XLOOKUP(
        $A39,
        Table1[Location],
        INDEX(Table1[], , MATCH(G$1, Table1[#Headers], 0))
    ),
"")</f>
        <v>28465</v>
      </c>
      <c r="H39" s="28" cm="1">
        <f t="array" ref="H39">IFERROR(
    _xlfn.XLOOKUP(
        $A39,
        Table1[Location],
        INDEX(Table1[], , MATCH(H$1, Table1[#Headers], 0))
    ),
"")</f>
        <v>39556</v>
      </c>
      <c r="I39" s="28" cm="1">
        <f t="array" ref="I39">IFERROR(
    _xlfn.XLOOKUP(
        $A39,
        Table1[Location],
        INDEX(Table1[], , MATCH(I$1, Table1[#Headers], 0))
    ),
"")</f>
        <v>54982</v>
      </c>
      <c r="J39" s="28" cm="1">
        <f t="array" ref="J39">IFERROR(
    _xlfn.XLOOKUP(
        $A39,
        Table1[Location],
        INDEX(Table1[], , MATCH(J$1, Table1[#Headers], 0))
    ),
"")</f>
        <v>16494</v>
      </c>
      <c r="K39" s="28" cm="1">
        <f t="array" ref="K39">IFERROR(
    _xlfn.XLOOKUP(
        $A39,
        Table1[Location],
        INDEX(Table1[], , MATCH(K$1, Table1[#Headers], 0))
    ),
"")</f>
        <v>24723</v>
      </c>
      <c r="L39" s="28" cm="1">
        <f t="array" ref="L39">IFERROR(
    _xlfn.XLOOKUP(
        $A39,
        Table1[Location],
        INDEX(Table1[], , MATCH(L$1, Table1[#Headers], 0))
    ),
"")</f>
        <v>19877</v>
      </c>
      <c r="M39" s="28" cm="1">
        <f t="array" ref="M39">IFERROR(
    _xlfn.XLOOKUP(
        $A39,
        Table1[Location],
        INDEX(Table1[], , MATCH(M$1, Table1[#Headers], 0))
    ),
"")</f>
        <v>20085</v>
      </c>
      <c r="N39" s="28" cm="1">
        <f t="array" ref="N39">IFERROR(
    _xlfn.XLOOKUP(
        $A39,
        Table1[Location],
        INDEX(Table1[], , MATCH(N$1, Table1[#Headers], 0))
    ),
"")</f>
        <v>6844.7010570777793</v>
      </c>
      <c r="O39" s="28">
        <f t="shared" si="1"/>
        <v>244312.70105707779</v>
      </c>
      <c r="Q39" s="28">
        <f t="shared" si="2"/>
        <v>0</v>
      </c>
      <c r="R39" s="28">
        <f t="shared" si="3"/>
        <v>0</v>
      </c>
      <c r="S39" s="28">
        <f t="shared" si="4"/>
        <v>127.99000000000001</v>
      </c>
      <c r="T39" s="28">
        <f t="shared" si="5"/>
        <v>204.87</v>
      </c>
      <c r="U39" s="28">
        <f t="shared" si="6"/>
        <v>284.65000000000003</v>
      </c>
      <c r="V39" s="28">
        <f t="shared" si="7"/>
        <v>395.56</v>
      </c>
      <c r="W39" s="28">
        <f t="shared" si="8"/>
        <v>549.82000000000005</v>
      </c>
      <c r="X39" s="28">
        <f t="shared" si="9"/>
        <v>164.94</v>
      </c>
      <c r="Y39" s="28">
        <f t="shared" si="10"/>
        <v>247.23000000000002</v>
      </c>
      <c r="Z39" s="28">
        <f t="shared" si="11"/>
        <v>198.77</v>
      </c>
      <c r="AA39" s="28">
        <f t="shared" si="12"/>
        <v>200.85</v>
      </c>
      <c r="AB39" s="28">
        <f t="shared" si="13"/>
        <v>68.447010570777792</v>
      </c>
      <c r="AC39" s="28">
        <f t="shared" si="14"/>
        <v>2443.1270105707777</v>
      </c>
    </row>
    <row r="40" spans="1:29" x14ac:dyDescent="0.3">
      <c r="A40" s="29" t="s">
        <v>108</v>
      </c>
      <c r="B40" s="32" t="str" cm="1">
        <f t="array" ref="B40">IFERROR(
    _xlfn.XLOOKUP(
        $A40,
        Table1[Location],
        INDEX(Table1[], , MATCH(B$1, Table1[#Headers], 0))
    ),
"")</f>
        <v>MD</v>
      </c>
      <c r="C40" s="28" cm="1">
        <f t="array" ref="C40">IFERROR(
    _xlfn.XLOOKUP(
        $A40,
        Table1[Location],
        INDEX(Table1[], , MATCH(C$1, Table1[#Headers], 0))
    ),
"")</f>
        <v>1844.023758</v>
      </c>
      <c r="D40" s="28" cm="1">
        <f t="array" ref="D40">IFERROR(
    _xlfn.XLOOKUP(
        $A40,
        Table1[Location],
        INDEX(Table1[], , MATCH(D$1, Table1[#Headers], 0))
    ),
"")</f>
        <v>1844.023758</v>
      </c>
      <c r="E40" s="28" cm="1">
        <f t="array" ref="E40">IFERROR(
    _xlfn.XLOOKUP(
        $A40,
        Table1[Location],
        INDEX(Table1[], , MATCH(E$1, Table1[#Headers], 0))
    ),
"")</f>
        <v>54252.349608999997</v>
      </c>
      <c r="F40" s="28" cm="1">
        <f t="array" ref="F40">IFERROR(
    _xlfn.XLOOKUP(
        $A40,
        Table1[Location],
        INDEX(Table1[], , MATCH(F$1, Table1[#Headers], 0))
    ),
"")</f>
        <v>72763.957202000005</v>
      </c>
      <c r="G40" s="28" cm="1">
        <f t="array" ref="G40">IFERROR(
    _xlfn.XLOOKUP(
        $A40,
        Table1[Location],
        INDEX(Table1[], , MATCH(G$1, Table1[#Headers], 0))
    ),
"")</f>
        <v>42904.057835</v>
      </c>
      <c r="H40" s="28" cm="1">
        <f t="array" ref="H40">IFERROR(
    _xlfn.XLOOKUP(
        $A40,
        Table1[Location],
        INDEX(Table1[], , MATCH(H$1, Table1[#Headers], 0))
    ),
"")</f>
        <v>62651.924435000001</v>
      </c>
      <c r="I40" s="28" cm="1">
        <f t="array" ref="I40">IFERROR(
    _xlfn.XLOOKUP(
        $A40,
        Table1[Location],
        INDEX(Table1[], , MATCH(I$1, Table1[#Headers], 0))
    ),
"")</f>
        <v>58336.410565999999</v>
      </c>
      <c r="J40" s="28" cm="1">
        <f t="array" ref="J40">IFERROR(
    _xlfn.XLOOKUP(
        $A40,
        Table1[Location],
        INDEX(Table1[], , MATCH(J$1, Table1[#Headers], 0))
    ),
"")</f>
        <v>40119.443396000002</v>
      </c>
      <c r="K40" s="28" cm="1">
        <f t="array" ref="K40">IFERROR(
    _xlfn.XLOOKUP(
        $A40,
        Table1[Location],
        INDEX(Table1[], , MATCH(K$1, Table1[#Headers], 0))
    ),
"")</f>
        <v>29678.019087000001</v>
      </c>
      <c r="L40" s="28" cm="1">
        <f t="array" ref="L40">IFERROR(
    _xlfn.XLOOKUP(
        $A40,
        Table1[Location],
        INDEX(Table1[], , MATCH(L$1, Table1[#Headers], 0))
    ),
"")</f>
        <v>19844.779589000002</v>
      </c>
      <c r="M40" s="28" cm="1">
        <f t="array" ref="M40">IFERROR(
    _xlfn.XLOOKUP(
        $A40,
        Table1[Location],
        INDEX(Table1[], , MATCH(M$1, Table1[#Headers], 0))
    ),
"")</f>
        <v>17829.918533</v>
      </c>
      <c r="N40" s="28" cm="1">
        <f t="array" ref="N40">IFERROR(
    _xlfn.XLOOKUP(
        $A40,
        Table1[Location],
        INDEX(Table1[], , MATCH(N$1, Table1[#Headers], 0))
    ),
"")</f>
        <v>5172.2053839999999</v>
      </c>
      <c r="O40" s="28">
        <f t="shared" si="1"/>
        <v>407241.11315199995</v>
      </c>
      <c r="Q40" s="28">
        <f t="shared" si="2"/>
        <v>18.440237580000002</v>
      </c>
      <c r="R40" s="28">
        <f t="shared" si="3"/>
        <v>18.440237580000002</v>
      </c>
      <c r="S40" s="28">
        <f t="shared" si="4"/>
        <v>542.52349608999998</v>
      </c>
      <c r="T40" s="28">
        <f t="shared" si="5"/>
        <v>727.63957202000006</v>
      </c>
      <c r="U40" s="28">
        <f t="shared" si="6"/>
        <v>429.04057835000003</v>
      </c>
      <c r="V40" s="28">
        <f t="shared" si="7"/>
        <v>626.51924435000001</v>
      </c>
      <c r="W40" s="28">
        <f t="shared" si="8"/>
        <v>583.36410565999995</v>
      </c>
      <c r="X40" s="28">
        <f t="shared" si="9"/>
        <v>401.19443396000003</v>
      </c>
      <c r="Y40" s="28">
        <f t="shared" si="10"/>
        <v>296.78019087000001</v>
      </c>
      <c r="Z40" s="28">
        <f t="shared" si="11"/>
        <v>198.44779589000001</v>
      </c>
      <c r="AA40" s="28">
        <f t="shared" si="12"/>
        <v>178.29918533</v>
      </c>
      <c r="AB40" s="28">
        <f t="shared" si="13"/>
        <v>51.722053840000001</v>
      </c>
      <c r="AC40" s="28">
        <f t="shared" si="14"/>
        <v>4072.4111315200003</v>
      </c>
    </row>
    <row r="41" spans="1:29" x14ac:dyDescent="0.3">
      <c r="A41" s="29" t="s">
        <v>110</v>
      </c>
      <c r="B41" s="32" t="str" cm="1">
        <f t="array" ref="B41">IFERROR(
    _xlfn.XLOOKUP(
        $A41,
        Table1[Location],
        INDEX(Table1[], , MATCH(B$1, Table1[#Headers], 0))
    ),
"")</f>
        <v>MD</v>
      </c>
      <c r="C41" s="28" cm="1">
        <f t="array" ref="C41">IFERROR(
    _xlfn.XLOOKUP(
        $A41,
        Table1[Location],
        INDEX(Table1[], , MATCH(C$1, Table1[#Headers], 0))
    ),
"")</f>
        <v>0</v>
      </c>
      <c r="D41" s="28" cm="1">
        <f t="array" ref="D41">IFERROR(
    _xlfn.XLOOKUP(
        $A41,
        Table1[Location],
        INDEX(Table1[], , MATCH(D$1, Table1[#Headers], 0))
    ),
"")</f>
        <v>0</v>
      </c>
      <c r="E41" s="28" cm="1">
        <f t="array" ref="E41">IFERROR(
    _xlfn.XLOOKUP(
        $A41,
        Table1[Location],
        INDEX(Table1[], , MATCH(E$1, Table1[#Headers], 0))
    ),
"")</f>
        <v>12590</v>
      </c>
      <c r="F41" s="28" cm="1">
        <f t="array" ref="F41">IFERROR(
    _xlfn.XLOOKUP(
        $A41,
        Table1[Location],
        INDEX(Table1[], , MATCH(F$1, Table1[#Headers], 0))
    ),
"")</f>
        <v>10309</v>
      </c>
      <c r="G41" s="28" cm="1">
        <f t="array" ref="G41">IFERROR(
    _xlfn.XLOOKUP(
        $A41,
        Table1[Location],
        INDEX(Table1[], , MATCH(G$1, Table1[#Headers], 0))
    ),
"")</f>
        <v>34573</v>
      </c>
      <c r="H41" s="28" cm="1">
        <f t="array" ref="H41">IFERROR(
    _xlfn.XLOOKUP(
        $A41,
        Table1[Location],
        INDEX(Table1[], , MATCH(H$1, Table1[#Headers], 0))
    ),
"")</f>
        <v>11853</v>
      </c>
      <c r="I41" s="28" cm="1">
        <f t="array" ref="I41">IFERROR(
    _xlfn.XLOOKUP(
        $A41,
        Table1[Location],
        INDEX(Table1[], , MATCH(I$1, Table1[#Headers], 0))
    ),
"")</f>
        <v>20698</v>
      </c>
      <c r="J41" s="28" cm="1">
        <f t="array" ref="J41">IFERROR(
    _xlfn.XLOOKUP(
        $A41,
        Table1[Location],
        INDEX(Table1[], , MATCH(J$1, Table1[#Headers], 0))
    ),
"")</f>
        <v>20452</v>
      </c>
      <c r="K41" s="28" cm="1">
        <f t="array" ref="K41">IFERROR(
    _xlfn.XLOOKUP(
        $A41,
        Table1[Location],
        INDEX(Table1[], , MATCH(K$1, Table1[#Headers], 0))
    ),
"")</f>
        <v>21325</v>
      </c>
      <c r="L41" s="28" cm="1">
        <f t="array" ref="L41">IFERROR(
    _xlfn.XLOOKUP(
        $A41,
        Table1[Location],
        INDEX(Table1[], , MATCH(L$1, Table1[#Headers], 0))
    ),
"")</f>
        <v>15113.519254000001</v>
      </c>
      <c r="M41" s="28" cm="1">
        <f t="array" ref="M41">IFERROR(
    _xlfn.XLOOKUP(
        $A41,
        Table1[Location],
        INDEX(Table1[], , MATCH(M$1, Table1[#Headers], 0))
    ),
"")</f>
        <v>20460</v>
      </c>
      <c r="N41" s="28" cm="1">
        <f t="array" ref="N41">IFERROR(
    _xlfn.XLOOKUP(
        $A41,
        Table1[Location],
        INDEX(Table1[], , MATCH(N$1, Table1[#Headers], 0))
    ),
"")</f>
        <v>2322.774476</v>
      </c>
      <c r="O41" s="28">
        <f t="shared" si="1"/>
        <v>169696.29373</v>
      </c>
      <c r="Q41" s="28">
        <f t="shared" si="2"/>
        <v>0</v>
      </c>
      <c r="R41" s="28">
        <f t="shared" si="3"/>
        <v>0</v>
      </c>
      <c r="S41" s="28">
        <f t="shared" si="4"/>
        <v>125.9</v>
      </c>
      <c r="T41" s="28">
        <f t="shared" si="5"/>
        <v>103.09</v>
      </c>
      <c r="U41" s="28">
        <f t="shared" si="6"/>
        <v>345.73</v>
      </c>
      <c r="V41" s="28">
        <f t="shared" si="7"/>
        <v>118.53</v>
      </c>
      <c r="W41" s="28">
        <f t="shared" si="8"/>
        <v>206.98000000000002</v>
      </c>
      <c r="X41" s="28">
        <f t="shared" si="9"/>
        <v>204.52</v>
      </c>
      <c r="Y41" s="28">
        <f t="shared" si="10"/>
        <v>213.25</v>
      </c>
      <c r="Z41" s="28">
        <f t="shared" si="11"/>
        <v>151.13519254000002</v>
      </c>
      <c r="AA41" s="28">
        <f t="shared" si="12"/>
        <v>204.6</v>
      </c>
      <c r="AB41" s="28">
        <f t="shared" si="13"/>
        <v>23.22774476</v>
      </c>
      <c r="AC41" s="28">
        <f t="shared" si="14"/>
        <v>1696.9629372999998</v>
      </c>
    </row>
    <row r="42" spans="1:29" x14ac:dyDescent="0.3">
      <c r="A42" s="29" t="s">
        <v>111</v>
      </c>
      <c r="B42" s="32" t="str" cm="1">
        <f t="array" ref="B42">IFERROR(
    _xlfn.XLOOKUP(
        $A42,
        Table1[Location],
        INDEX(Table1[], , MATCH(B$1, Table1[#Headers], 0))
    ),
"")</f>
        <v>MO</v>
      </c>
      <c r="C42" s="28" cm="1">
        <f t="array" ref="C42">IFERROR(
    _xlfn.XLOOKUP(
        $A42,
        Table1[Location],
        INDEX(Table1[], , MATCH(C$1, Table1[#Headers], 0))
    ),
"")</f>
        <v>22473</v>
      </c>
      <c r="D42" s="28" cm="1">
        <f t="array" ref="D42">IFERROR(
    _xlfn.XLOOKUP(
        $A42,
        Table1[Location],
        INDEX(Table1[], , MATCH(D$1, Table1[#Headers], 0))
    ),
"")</f>
        <v>250</v>
      </c>
      <c r="E42" s="28" cm="1">
        <f t="array" ref="E42">IFERROR(
    _xlfn.XLOOKUP(
        $A42,
        Table1[Location],
        INDEX(Table1[], , MATCH(E$1, Table1[#Headers], 0))
    ),
"")</f>
        <v>11926</v>
      </c>
      <c r="F42" s="28" cm="1">
        <f t="array" ref="F42">IFERROR(
    _xlfn.XLOOKUP(
        $A42,
        Table1[Location],
        INDEX(Table1[], , MATCH(F$1, Table1[#Headers], 0))
    ),
"")</f>
        <v>50693</v>
      </c>
      <c r="G42" s="28" cm="1">
        <f t="array" ref="G42">IFERROR(
    _xlfn.XLOOKUP(
        $A42,
        Table1[Location],
        INDEX(Table1[], , MATCH(G$1, Table1[#Headers], 0))
    ),
"")</f>
        <v>32011</v>
      </c>
      <c r="H42" s="28" cm="1">
        <f t="array" ref="H42">IFERROR(
    _xlfn.XLOOKUP(
        $A42,
        Table1[Location],
        INDEX(Table1[], , MATCH(H$1, Table1[#Headers], 0))
    ),
"")</f>
        <v>26898</v>
      </c>
      <c r="I42" s="28" cm="1">
        <f t="array" ref="I42">IFERROR(
    _xlfn.XLOOKUP(
        $A42,
        Table1[Location],
        INDEX(Table1[], , MATCH(I$1, Table1[#Headers], 0))
    ),
"")</f>
        <v>20633</v>
      </c>
      <c r="J42" s="28" cm="1">
        <f t="array" ref="J42">IFERROR(
    _xlfn.XLOOKUP(
        $A42,
        Table1[Location],
        INDEX(Table1[], , MATCH(J$1, Table1[#Headers], 0))
    ),
"")</f>
        <v>24231</v>
      </c>
      <c r="K42" s="28" cm="1">
        <f t="array" ref="K42">IFERROR(
    _xlfn.XLOOKUP(
        $A42,
        Table1[Location],
        INDEX(Table1[], , MATCH(K$1, Table1[#Headers], 0))
    ),
"")</f>
        <v>84359</v>
      </c>
      <c r="L42" s="28" cm="1">
        <f t="array" ref="L42">IFERROR(
    _xlfn.XLOOKUP(
        $A42,
        Table1[Location],
        INDEX(Table1[], , MATCH(L$1, Table1[#Headers], 0))
    ),
"")</f>
        <v>2439</v>
      </c>
      <c r="M42" s="28" cm="1">
        <f t="array" ref="M42">IFERROR(
    _xlfn.XLOOKUP(
        $A42,
        Table1[Location],
        INDEX(Table1[], , MATCH(M$1, Table1[#Headers], 0))
    ),
"")</f>
        <v>24388</v>
      </c>
      <c r="N42" s="28" cm="1">
        <f t="array" ref="N42">IFERROR(
    _xlfn.XLOOKUP(
        $A42,
        Table1[Location],
        INDEX(Table1[], , MATCH(N$1, Table1[#Headers], 0))
    ),
"")</f>
        <v>5662</v>
      </c>
      <c r="O42" s="28">
        <f t="shared" si="1"/>
        <v>305963</v>
      </c>
      <c r="Q42" s="28">
        <f t="shared" si="2"/>
        <v>224.73000000000002</v>
      </c>
      <c r="R42" s="28">
        <f t="shared" si="3"/>
        <v>2.5</v>
      </c>
      <c r="S42" s="28">
        <f t="shared" si="4"/>
        <v>119.26</v>
      </c>
      <c r="T42" s="28">
        <f t="shared" si="5"/>
        <v>506.93</v>
      </c>
      <c r="U42" s="28">
        <f t="shared" si="6"/>
        <v>320.11</v>
      </c>
      <c r="V42" s="28">
        <f t="shared" si="7"/>
        <v>268.98</v>
      </c>
      <c r="W42" s="28">
        <f t="shared" si="8"/>
        <v>206.33</v>
      </c>
      <c r="X42" s="28">
        <f t="shared" si="9"/>
        <v>242.31</v>
      </c>
      <c r="Y42" s="28">
        <f t="shared" si="10"/>
        <v>843.59</v>
      </c>
      <c r="Z42" s="28">
        <f t="shared" si="11"/>
        <v>24.39</v>
      </c>
      <c r="AA42" s="28">
        <f t="shared" si="12"/>
        <v>243.88</v>
      </c>
      <c r="AB42" s="28">
        <f t="shared" si="13"/>
        <v>56.620000000000005</v>
      </c>
      <c r="AC42" s="28">
        <f t="shared" si="14"/>
        <v>3059.63</v>
      </c>
    </row>
    <row r="43" spans="1:29" x14ac:dyDescent="0.3">
      <c r="A43" s="29" t="s">
        <v>113</v>
      </c>
      <c r="B43" s="32" t="str" cm="1">
        <f t="array" ref="B43">IFERROR(
    _xlfn.XLOOKUP(
        $A43,
        Table1[Location],
        INDEX(Table1[], , MATCH(B$1, Table1[#Headers], 0))
    ),
"")</f>
        <v>MO</v>
      </c>
      <c r="C43" s="28" cm="1">
        <f t="array" ref="C43">IFERROR(
    _xlfn.XLOOKUP(
        $A43,
        Table1[Location],
        INDEX(Table1[], , MATCH(C$1, Table1[#Headers], 0))
    ),
"")</f>
        <v>6240</v>
      </c>
      <c r="D43" s="28" cm="1">
        <f t="array" ref="D43">IFERROR(
    _xlfn.XLOOKUP(
        $A43,
        Table1[Location],
        INDEX(Table1[], , MATCH(D$1, Table1[#Headers], 0))
    ),
"")</f>
        <v>534.59718699999996</v>
      </c>
      <c r="E43" s="28" cm="1">
        <f t="array" ref="E43">IFERROR(
    _xlfn.XLOOKUP(
        $A43,
        Table1[Location],
        INDEX(Table1[], , MATCH(E$1, Table1[#Headers], 0))
    ),
"")</f>
        <v>7957</v>
      </c>
      <c r="F43" s="28" cm="1">
        <f t="array" ref="F43">IFERROR(
    _xlfn.XLOOKUP(
        $A43,
        Table1[Location],
        INDEX(Table1[], , MATCH(F$1, Table1[#Headers], 0))
    ),
"")</f>
        <v>18261</v>
      </c>
      <c r="G43" s="28" cm="1">
        <f t="array" ref="G43">IFERROR(
    _xlfn.XLOOKUP(
        $A43,
        Table1[Location],
        INDEX(Table1[], , MATCH(G$1, Table1[#Headers], 0))
    ),
"")</f>
        <v>19802.507104</v>
      </c>
      <c r="H43" s="28" cm="1">
        <f t="array" ref="H43">IFERROR(
    _xlfn.XLOOKUP(
        $A43,
        Table1[Location],
        INDEX(Table1[], , MATCH(H$1, Table1[#Headers], 0))
    ),
"")</f>
        <v>14601</v>
      </c>
      <c r="I43" s="28" cm="1">
        <f t="array" ref="I43">IFERROR(
    _xlfn.XLOOKUP(
        $A43,
        Table1[Location],
        INDEX(Table1[], , MATCH(I$1, Table1[#Headers], 0))
    ),
"")</f>
        <v>9463</v>
      </c>
      <c r="J43" s="28" cm="1">
        <f t="array" ref="J43">IFERROR(
    _xlfn.XLOOKUP(
        $A43,
        Table1[Location],
        INDEX(Table1[], , MATCH(J$1, Table1[#Headers], 0))
    ),
"")</f>
        <v>15024</v>
      </c>
      <c r="K43" s="28" cm="1">
        <f t="array" ref="K43">IFERROR(
    _xlfn.XLOOKUP(
        $A43,
        Table1[Location],
        INDEX(Table1[], , MATCH(K$1, Table1[#Headers], 0))
    ),
"")</f>
        <v>29235</v>
      </c>
      <c r="L43" s="28" cm="1">
        <f t="array" ref="L43">IFERROR(
    _xlfn.XLOOKUP(
        $A43,
        Table1[Location],
        INDEX(Table1[], , MATCH(L$1, Table1[#Headers], 0))
    ),
"")</f>
        <v>30699</v>
      </c>
      <c r="M43" s="28" cm="1">
        <f t="array" ref="M43">IFERROR(
    _xlfn.XLOOKUP(
        $A43,
        Table1[Location],
        INDEX(Table1[], , MATCH(M$1, Table1[#Headers], 0))
    ),
"")</f>
        <v>4539.9682929999999</v>
      </c>
      <c r="N43" s="28" cm="1">
        <f t="array" ref="N43">IFERROR(
    _xlfn.XLOOKUP(
        $A43,
        Table1[Location],
        INDEX(Table1[], , MATCH(N$1, Table1[#Headers], 0))
    ),
"")</f>
        <v>12236</v>
      </c>
      <c r="O43" s="28">
        <f t="shared" si="1"/>
        <v>168593.07258400001</v>
      </c>
      <c r="Q43" s="28">
        <f t="shared" si="2"/>
        <v>62.4</v>
      </c>
      <c r="R43" s="28">
        <f t="shared" si="3"/>
        <v>5.3459718699999996</v>
      </c>
      <c r="S43" s="28">
        <f t="shared" si="4"/>
        <v>79.570000000000007</v>
      </c>
      <c r="T43" s="28">
        <f t="shared" si="5"/>
        <v>182.61</v>
      </c>
      <c r="U43" s="28">
        <f t="shared" si="6"/>
        <v>198.02507104</v>
      </c>
      <c r="V43" s="28">
        <f t="shared" si="7"/>
        <v>146.01</v>
      </c>
      <c r="W43" s="28">
        <f t="shared" si="8"/>
        <v>94.63</v>
      </c>
      <c r="X43" s="28">
        <f t="shared" si="9"/>
        <v>150.24</v>
      </c>
      <c r="Y43" s="28">
        <f t="shared" si="10"/>
        <v>292.35000000000002</v>
      </c>
      <c r="Z43" s="28">
        <f t="shared" si="11"/>
        <v>306.99</v>
      </c>
      <c r="AA43" s="28">
        <f t="shared" si="12"/>
        <v>45.399682929999997</v>
      </c>
      <c r="AB43" s="28">
        <f t="shared" si="13"/>
        <v>122.36</v>
      </c>
      <c r="AC43" s="28">
        <f t="shared" si="14"/>
        <v>1685.9307258399999</v>
      </c>
    </row>
    <row r="44" spans="1:29" x14ac:dyDescent="0.3">
      <c r="A44" s="29" t="s">
        <v>114</v>
      </c>
      <c r="B44" s="32" t="str" cm="1">
        <f t="array" ref="B44">IFERROR(
    _xlfn.XLOOKUP(
        $A44,
        Table1[Location],
        INDEX(Table1[], , MATCH(B$1, Table1[#Headers], 0))
    ),
"")</f>
        <v>MS</v>
      </c>
      <c r="C44" s="28" cm="1">
        <f t="array" ref="C44">IFERROR(
    _xlfn.XLOOKUP(
        $A44,
        Table1[Location],
        INDEX(Table1[], , MATCH(C$1, Table1[#Headers], 0))
    ),
"")</f>
        <v>5503</v>
      </c>
      <c r="D44" s="28" cm="1">
        <f t="array" ref="D44">IFERROR(
    _xlfn.XLOOKUP(
        $A44,
        Table1[Location],
        INDEX(Table1[], , MATCH(D$1, Table1[#Headers], 0))
    ),
"")</f>
        <v>26911</v>
      </c>
      <c r="E44" s="28" cm="1">
        <f t="array" ref="E44">IFERROR(
    _xlfn.XLOOKUP(
        $A44,
        Table1[Location],
        INDEX(Table1[], , MATCH(E$1, Table1[#Headers], 0))
    ),
"")</f>
        <v>27904</v>
      </c>
      <c r="F44" s="28" cm="1">
        <f t="array" ref="F44">IFERROR(
    _xlfn.XLOOKUP(
        $A44,
        Table1[Location],
        INDEX(Table1[], , MATCH(F$1, Table1[#Headers], 0))
    ),
"")</f>
        <v>36922</v>
      </c>
      <c r="G44" s="28" cm="1">
        <f t="array" ref="G44">IFERROR(
    _xlfn.XLOOKUP(
        $A44,
        Table1[Location],
        INDEX(Table1[], , MATCH(G$1, Table1[#Headers], 0))
    ),
"")</f>
        <v>25619</v>
      </c>
      <c r="H44" s="28" cm="1">
        <f t="array" ref="H44">IFERROR(
    _xlfn.XLOOKUP(
        $A44,
        Table1[Location],
        INDEX(Table1[], , MATCH(H$1, Table1[#Headers], 0))
    ),
"")</f>
        <v>55986</v>
      </c>
      <c r="I44" s="28" cm="1">
        <f t="array" ref="I44">IFERROR(
    _xlfn.XLOOKUP(
        $A44,
        Table1[Location],
        INDEX(Table1[], , MATCH(I$1, Table1[#Headers], 0))
    ),
"")</f>
        <v>35574</v>
      </c>
      <c r="J44" s="28" cm="1">
        <f t="array" ref="J44">IFERROR(
    _xlfn.XLOOKUP(
        $A44,
        Table1[Location],
        INDEX(Table1[], , MATCH(J$1, Table1[#Headers], 0))
    ),
"")</f>
        <v>55367</v>
      </c>
      <c r="K44" s="28" cm="1">
        <f t="array" ref="K44">IFERROR(
    _xlfn.XLOOKUP(
        $A44,
        Table1[Location],
        INDEX(Table1[], , MATCH(K$1, Table1[#Headers], 0))
    ),
"")</f>
        <v>52726</v>
      </c>
      <c r="L44" s="28" cm="1">
        <f t="array" ref="L44">IFERROR(
    _xlfn.XLOOKUP(
        $A44,
        Table1[Location],
        INDEX(Table1[], , MATCH(L$1, Table1[#Headers], 0))
    ),
"")</f>
        <v>126395</v>
      </c>
      <c r="M44" s="28" cm="1">
        <f t="array" ref="M44">IFERROR(
    _xlfn.XLOOKUP(
        $A44,
        Table1[Location],
        INDEX(Table1[], , MATCH(M$1, Table1[#Headers], 0))
    ),
"")</f>
        <v>50697</v>
      </c>
      <c r="N44" s="28" cm="1">
        <f t="array" ref="N44">IFERROR(
    _xlfn.XLOOKUP(
        $A44,
        Table1[Location],
        INDEX(Table1[], , MATCH(N$1, Table1[#Headers], 0))
    ),
"")</f>
        <v>10348.211670999999</v>
      </c>
      <c r="O44" s="28">
        <f t="shared" si="1"/>
        <v>509952.211671</v>
      </c>
      <c r="Q44" s="28">
        <f t="shared" si="2"/>
        <v>55.03</v>
      </c>
      <c r="R44" s="28">
        <f t="shared" si="3"/>
        <v>269.11</v>
      </c>
      <c r="S44" s="28">
        <f t="shared" si="4"/>
        <v>279.04000000000002</v>
      </c>
      <c r="T44" s="28">
        <f t="shared" si="5"/>
        <v>369.22</v>
      </c>
      <c r="U44" s="28">
        <f t="shared" si="6"/>
        <v>256.19</v>
      </c>
      <c r="V44" s="28">
        <f t="shared" si="7"/>
        <v>559.86</v>
      </c>
      <c r="W44" s="28">
        <f t="shared" si="8"/>
        <v>355.74</v>
      </c>
      <c r="X44" s="28">
        <f t="shared" si="9"/>
        <v>553.66999999999996</v>
      </c>
      <c r="Y44" s="28">
        <f t="shared" si="10"/>
        <v>527.26</v>
      </c>
      <c r="Z44" s="28">
        <f t="shared" si="11"/>
        <v>1263.95</v>
      </c>
      <c r="AA44" s="28">
        <f t="shared" si="12"/>
        <v>506.97</v>
      </c>
      <c r="AB44" s="28">
        <f t="shared" si="13"/>
        <v>103.48211671</v>
      </c>
      <c r="AC44" s="28">
        <f t="shared" si="14"/>
        <v>5099.5221167100008</v>
      </c>
    </row>
    <row r="45" spans="1:29" x14ac:dyDescent="0.3">
      <c r="A45" s="31" t="s">
        <v>116</v>
      </c>
      <c r="B45" s="32" t="str" cm="1">
        <f t="array" ref="B45">IFERROR(
    _xlfn.XLOOKUP(
        $A45,
        Table1[Location],
        INDEX(Table1[], , MATCH(B$1, Table1[#Headers], 0))
    ),
"")</f>
        <v>NC</v>
      </c>
      <c r="C45" s="28" cm="1">
        <f t="array" ref="C45">IFERROR(
    _xlfn.XLOOKUP(
        $A45,
        Table1[Location],
        INDEX(Table1[], , MATCH(C$1, Table1[#Headers], 0))
    ),
"")</f>
        <v>23873</v>
      </c>
      <c r="D45" s="28" cm="1">
        <f t="array" ref="D45">IFERROR(
    _xlfn.XLOOKUP(
        $A45,
        Table1[Location],
        INDEX(Table1[], , MATCH(D$1, Table1[#Headers], 0))
    ),
"")</f>
        <v>19334</v>
      </c>
      <c r="E45" s="28" cm="1">
        <f t="array" ref="E45">IFERROR(
    _xlfn.XLOOKUP(
        $A45,
        Table1[Location],
        INDEX(Table1[], , MATCH(E$1, Table1[#Headers], 0))
    ),
"")</f>
        <v>10563</v>
      </c>
      <c r="F45" s="28" cm="1">
        <f t="array" ref="F45">IFERROR(
    _xlfn.XLOOKUP(
        $A45,
        Table1[Location],
        INDEX(Table1[], , MATCH(F$1, Table1[#Headers], 0))
    ),
"")</f>
        <v>26842</v>
      </c>
      <c r="G45" s="28" cm="1">
        <f t="array" ref="G45">IFERROR(
    _xlfn.XLOOKUP(
        $A45,
        Table1[Location],
        INDEX(Table1[], , MATCH(G$1, Table1[#Headers], 0))
    ),
"")</f>
        <v>29507</v>
      </c>
      <c r="H45" s="28" cm="1">
        <f t="array" ref="H45">IFERROR(
    _xlfn.XLOOKUP(
        $A45,
        Table1[Location],
        INDEX(Table1[], , MATCH(H$1, Table1[#Headers], 0))
    ),
"")</f>
        <v>56428</v>
      </c>
      <c r="I45" s="28" cm="1">
        <f t="array" ref="I45">IFERROR(
    _xlfn.XLOOKUP(
        $A45,
        Table1[Location],
        INDEX(Table1[], , MATCH(I$1, Table1[#Headers], 0))
    ),
"")</f>
        <v>55285</v>
      </c>
      <c r="J45" s="28" cm="1">
        <f t="array" ref="J45">IFERROR(
    _xlfn.XLOOKUP(
        $A45,
        Table1[Location],
        INDEX(Table1[], , MATCH(J$1, Table1[#Headers], 0))
    ),
"")</f>
        <v>71956</v>
      </c>
      <c r="K45" s="28" cm="1">
        <f t="array" ref="K45">IFERROR(
    _xlfn.XLOOKUP(
        $A45,
        Table1[Location],
        INDEX(Table1[], , MATCH(K$1, Table1[#Headers], 0))
    ),
"")</f>
        <v>27020</v>
      </c>
      <c r="L45" s="28" cm="1">
        <f t="array" ref="L45">IFERROR(
    _xlfn.XLOOKUP(
        $A45,
        Table1[Location],
        INDEX(Table1[], , MATCH(L$1, Table1[#Headers], 0))
    ),
"")</f>
        <v>24976</v>
      </c>
      <c r="M45" s="28" cm="1">
        <f t="array" ref="M45">IFERROR(
    _xlfn.XLOOKUP(
        $A45,
        Table1[Location],
        INDEX(Table1[], , MATCH(M$1, Table1[#Headers], 0))
    ),
"")</f>
        <v>16035</v>
      </c>
      <c r="N45" s="28" cm="1">
        <f t="array" ref="N45">IFERROR(
    _xlfn.XLOOKUP(
        $A45,
        Table1[Location],
        INDEX(Table1[], , MATCH(N$1, Table1[#Headers], 0))
    ),
"")</f>
        <v>25980</v>
      </c>
      <c r="O45" s="28">
        <f t="shared" si="1"/>
        <v>387799</v>
      </c>
      <c r="Q45" s="28">
        <f t="shared" si="2"/>
        <v>238.73000000000002</v>
      </c>
      <c r="R45" s="28">
        <f t="shared" si="3"/>
        <v>193.34</v>
      </c>
      <c r="S45" s="28">
        <f t="shared" si="4"/>
        <v>105.63</v>
      </c>
      <c r="T45" s="28">
        <f t="shared" si="5"/>
        <v>268.42</v>
      </c>
      <c r="U45" s="28">
        <f t="shared" si="6"/>
        <v>295.07</v>
      </c>
      <c r="V45" s="28">
        <f t="shared" si="7"/>
        <v>564.28</v>
      </c>
      <c r="W45" s="28">
        <f t="shared" si="8"/>
        <v>552.85</v>
      </c>
      <c r="X45" s="28">
        <f t="shared" si="9"/>
        <v>719.56000000000006</v>
      </c>
      <c r="Y45" s="28">
        <f t="shared" si="10"/>
        <v>270.2</v>
      </c>
      <c r="Z45" s="28">
        <f t="shared" si="11"/>
        <v>249.76000000000002</v>
      </c>
      <c r="AA45" s="28">
        <f t="shared" si="12"/>
        <v>160.35</v>
      </c>
      <c r="AB45" s="28">
        <f t="shared" si="13"/>
        <v>259.8</v>
      </c>
      <c r="AC45" s="28">
        <f t="shared" si="14"/>
        <v>3877.9900000000002</v>
      </c>
    </row>
    <row r="46" spans="1:29" x14ac:dyDescent="0.3">
      <c r="A46" s="29" t="s">
        <v>118</v>
      </c>
      <c r="B46" s="32" t="str" cm="1">
        <f t="array" ref="B46">IFERROR(
    _xlfn.XLOOKUP(
        $A46,
        Table1[Location],
        INDEX(Table1[], , MATCH(B$1, Table1[#Headers], 0))
    ),
"")</f>
        <v>NC</v>
      </c>
      <c r="C46" s="28" cm="1">
        <f t="array" ref="C46">IFERROR(
    _xlfn.XLOOKUP(
        $A46,
        Table1[Location],
        INDEX(Table1[], , MATCH(C$1, Table1[#Headers], 0))
    ),
"")</f>
        <v>4125</v>
      </c>
      <c r="D46" s="28" cm="1">
        <f t="array" ref="D46">IFERROR(
    _xlfn.XLOOKUP(
        $A46,
        Table1[Location],
        INDEX(Table1[], , MATCH(D$1, Table1[#Headers], 0))
    ),
"")</f>
        <v>0</v>
      </c>
      <c r="E46" s="28" cm="1">
        <f t="array" ref="E46">IFERROR(
    _xlfn.XLOOKUP(
        $A46,
        Table1[Location],
        INDEX(Table1[], , MATCH(E$1, Table1[#Headers], 0))
    ),
"")</f>
        <v>2521</v>
      </c>
      <c r="F46" s="28" cm="1">
        <f t="array" ref="F46">IFERROR(
    _xlfn.XLOOKUP(
        $A46,
        Table1[Location],
        INDEX(Table1[], , MATCH(F$1, Table1[#Headers], 0))
    ),
"")</f>
        <v>4210</v>
      </c>
      <c r="G46" s="28" cm="1">
        <f t="array" ref="G46">IFERROR(
    _xlfn.XLOOKUP(
        $A46,
        Table1[Location],
        INDEX(Table1[], , MATCH(G$1, Table1[#Headers], 0))
    ),
"")</f>
        <v>12362</v>
      </c>
      <c r="H46" s="28" cm="1">
        <f t="array" ref="H46">IFERROR(
    _xlfn.XLOOKUP(
        $A46,
        Table1[Location],
        INDEX(Table1[], , MATCH(H$1, Table1[#Headers], 0))
    ),
"")</f>
        <v>15236</v>
      </c>
      <c r="I46" s="28" cm="1">
        <f t="array" ref="I46">IFERROR(
    _xlfn.XLOOKUP(
        $A46,
        Table1[Location],
        INDEX(Table1[], , MATCH(I$1, Table1[#Headers], 0))
    ),
"")</f>
        <v>14320</v>
      </c>
      <c r="J46" s="28" cm="1">
        <f t="array" ref="J46">IFERROR(
    _xlfn.XLOOKUP(
        $A46,
        Table1[Location],
        INDEX(Table1[], , MATCH(J$1, Table1[#Headers], 0))
    ),
"")</f>
        <v>12652</v>
      </c>
      <c r="K46" s="28" cm="1">
        <f t="array" ref="K46">IFERROR(
    _xlfn.XLOOKUP(
        $A46,
        Table1[Location],
        INDEX(Table1[], , MATCH(K$1, Table1[#Headers], 0))
    ),
"")</f>
        <v>7999.7559570000003</v>
      </c>
      <c r="L46" s="28" cm="1">
        <f t="array" ref="L46">IFERROR(
    _xlfn.XLOOKUP(
        $A46,
        Table1[Location],
        INDEX(Table1[], , MATCH(L$1, Table1[#Headers], 0))
    ),
"")</f>
        <v>12335.159212</v>
      </c>
      <c r="M46" s="28" cm="1">
        <f t="array" ref="M46">IFERROR(
    _xlfn.XLOOKUP(
        $A46,
        Table1[Location],
        INDEX(Table1[], , MATCH(M$1, Table1[#Headers], 0))
    ),
"")</f>
        <v>9571.8016779999998</v>
      </c>
      <c r="N46" s="28" cm="1">
        <f t="array" ref="N46">IFERROR(
    _xlfn.XLOOKUP(
        $A46,
        Table1[Location],
        INDEX(Table1[], , MATCH(N$1, Table1[#Headers], 0))
    ),
"")</f>
        <v>4265</v>
      </c>
      <c r="O46" s="28">
        <f t="shared" si="1"/>
        <v>99597.716847000003</v>
      </c>
      <c r="Q46" s="28">
        <f t="shared" si="2"/>
        <v>41.25</v>
      </c>
      <c r="R46" s="28">
        <f t="shared" si="3"/>
        <v>0</v>
      </c>
      <c r="S46" s="28">
        <f t="shared" si="4"/>
        <v>25.21</v>
      </c>
      <c r="T46" s="28">
        <f t="shared" si="5"/>
        <v>42.1</v>
      </c>
      <c r="U46" s="28">
        <f t="shared" si="6"/>
        <v>123.62</v>
      </c>
      <c r="V46" s="28">
        <f t="shared" si="7"/>
        <v>152.36000000000001</v>
      </c>
      <c r="W46" s="28">
        <f t="shared" si="8"/>
        <v>143.20000000000002</v>
      </c>
      <c r="X46" s="28">
        <f t="shared" si="9"/>
        <v>126.52</v>
      </c>
      <c r="Y46" s="28">
        <f t="shared" si="10"/>
        <v>79.997559570000007</v>
      </c>
      <c r="Z46" s="28">
        <f t="shared" si="11"/>
        <v>123.35159212000001</v>
      </c>
      <c r="AA46" s="28">
        <f t="shared" si="12"/>
        <v>95.718016779999999</v>
      </c>
      <c r="AB46" s="28">
        <f t="shared" si="13"/>
        <v>42.65</v>
      </c>
      <c r="AC46" s="28">
        <f t="shared" si="14"/>
        <v>995.97716846999992</v>
      </c>
    </row>
    <row r="47" spans="1:29" x14ac:dyDescent="0.3">
      <c r="A47" s="29" t="s">
        <v>120</v>
      </c>
      <c r="B47" s="32" t="str" cm="1">
        <f t="array" ref="B47">IFERROR(
    _xlfn.XLOOKUP(
        $A47,
        Table1[Location],
        INDEX(Table1[], , MATCH(B$1, Table1[#Headers], 0))
    ),
"")</f>
        <v>NC</v>
      </c>
      <c r="C47" s="28" cm="1">
        <f t="array" ref="C47">IFERROR(
    _xlfn.XLOOKUP(
        $A47,
        Table1[Location],
        INDEX(Table1[], , MATCH(C$1, Table1[#Headers], 0))
    ),
"")</f>
        <v>3120</v>
      </c>
      <c r="D47" s="28" cm="1">
        <f t="array" ref="D47">IFERROR(
    _xlfn.XLOOKUP(
        $A47,
        Table1[Location],
        INDEX(Table1[], , MATCH(D$1, Table1[#Headers], 0))
    ),
"")</f>
        <v>11787</v>
      </c>
      <c r="E47" s="28" cm="1">
        <f t="array" ref="E47">IFERROR(
    _xlfn.XLOOKUP(
        $A47,
        Table1[Location],
        INDEX(Table1[], , MATCH(E$1, Table1[#Headers], 0))
    ),
"")</f>
        <v>13516</v>
      </c>
      <c r="F47" s="28" cm="1">
        <f t="array" ref="F47">IFERROR(
    _xlfn.XLOOKUP(
        $A47,
        Table1[Location],
        INDEX(Table1[], , MATCH(F$1, Table1[#Headers], 0))
    ),
"")</f>
        <v>14077.199847</v>
      </c>
      <c r="G47" s="28" cm="1">
        <f t="array" ref="G47">IFERROR(
    _xlfn.XLOOKUP(
        $A47,
        Table1[Location],
        INDEX(Table1[], , MATCH(G$1, Table1[#Headers], 0))
    ),
"")</f>
        <v>52345</v>
      </c>
      <c r="H47" s="28" cm="1">
        <f t="array" ref="H47">IFERROR(
    _xlfn.XLOOKUP(
        $A47,
        Table1[Location],
        INDEX(Table1[], , MATCH(H$1, Table1[#Headers], 0))
    ),
"")</f>
        <v>10725</v>
      </c>
      <c r="I47" s="28" cm="1">
        <f t="array" ref="I47">IFERROR(
    _xlfn.XLOOKUP(
        $A47,
        Table1[Location],
        INDEX(Table1[], , MATCH(I$1, Table1[#Headers], 0))
    ),
"")</f>
        <v>33051</v>
      </c>
      <c r="J47" s="28" cm="1">
        <f t="array" ref="J47">IFERROR(
    _xlfn.XLOOKUP(
        $A47,
        Table1[Location],
        INDEX(Table1[], , MATCH(J$1, Table1[#Headers], 0))
    ),
"")</f>
        <v>33553</v>
      </c>
      <c r="K47" s="28" cm="1">
        <f t="array" ref="K47">IFERROR(
    _xlfn.XLOOKUP(
        $A47,
        Table1[Location],
        INDEX(Table1[], , MATCH(K$1, Table1[#Headers], 0))
    ),
"")</f>
        <v>26161</v>
      </c>
      <c r="L47" s="28" cm="1">
        <f t="array" ref="L47">IFERROR(
    _xlfn.XLOOKUP(
        $A47,
        Table1[Location],
        INDEX(Table1[], , MATCH(L$1, Table1[#Headers], 0))
    ),
"")</f>
        <v>36184</v>
      </c>
      <c r="M47" s="28" cm="1">
        <f t="array" ref="M47">IFERROR(
    _xlfn.XLOOKUP(
        $A47,
        Table1[Location],
        INDEX(Table1[], , MATCH(M$1, Table1[#Headers], 0))
    ),
"")</f>
        <v>5835</v>
      </c>
      <c r="N47" s="28" cm="1">
        <f t="array" ref="N47">IFERROR(
    _xlfn.XLOOKUP(
        $A47,
        Table1[Location],
        INDEX(Table1[], , MATCH(N$1, Table1[#Headers], 0))
    ),
"")</f>
        <v>26541</v>
      </c>
      <c r="O47" s="28">
        <f t="shared" si="1"/>
        <v>266895.19984700001</v>
      </c>
      <c r="Q47" s="28">
        <f t="shared" si="2"/>
        <v>31.2</v>
      </c>
      <c r="R47" s="28">
        <f t="shared" si="3"/>
        <v>117.87</v>
      </c>
      <c r="S47" s="28">
        <f t="shared" si="4"/>
        <v>135.16</v>
      </c>
      <c r="T47" s="28">
        <f t="shared" si="5"/>
        <v>140.77199847</v>
      </c>
      <c r="U47" s="28">
        <f t="shared" si="6"/>
        <v>523.45000000000005</v>
      </c>
      <c r="V47" s="28">
        <f t="shared" si="7"/>
        <v>107.25</v>
      </c>
      <c r="W47" s="28">
        <f t="shared" si="8"/>
        <v>330.51</v>
      </c>
      <c r="X47" s="28">
        <f t="shared" si="9"/>
        <v>335.53000000000003</v>
      </c>
      <c r="Y47" s="28">
        <f t="shared" si="10"/>
        <v>261.61</v>
      </c>
      <c r="Z47" s="28">
        <f t="shared" si="11"/>
        <v>361.84000000000003</v>
      </c>
      <c r="AA47" s="28">
        <f t="shared" si="12"/>
        <v>58.35</v>
      </c>
      <c r="AB47" s="28">
        <f t="shared" si="13"/>
        <v>265.41000000000003</v>
      </c>
      <c r="AC47" s="28">
        <f t="shared" si="14"/>
        <v>2668.95199847</v>
      </c>
    </row>
    <row r="48" spans="1:29" x14ac:dyDescent="0.3">
      <c r="A48" s="29" t="s">
        <v>121</v>
      </c>
      <c r="B48" s="32" t="str" cm="1">
        <f t="array" ref="B48">IFERROR(
    _xlfn.XLOOKUP(
        $A48,
        Table1[Location],
        INDEX(Table1[], , MATCH(B$1, Table1[#Headers], 0))
    ),
"")</f>
        <v>NC</v>
      </c>
      <c r="C48" s="28" cm="1">
        <f t="array" ref="C48">IFERROR(
    _xlfn.XLOOKUP(
        $A48,
        Table1[Location],
        INDEX(Table1[], , MATCH(C$1, Table1[#Headers], 0))
    ),
"")</f>
        <v>6289</v>
      </c>
      <c r="D48" s="28" cm="1">
        <f t="array" ref="D48">IFERROR(
    _xlfn.XLOOKUP(
        $A48,
        Table1[Location],
        INDEX(Table1[], , MATCH(D$1, Table1[#Headers], 0))
    ),
"")</f>
        <v>6012</v>
      </c>
      <c r="E48" s="28" cm="1">
        <f t="array" ref="E48">IFERROR(
    _xlfn.XLOOKUP(
        $A48,
        Table1[Location],
        INDEX(Table1[], , MATCH(E$1, Table1[#Headers], 0))
    ),
"")</f>
        <v>20337</v>
      </c>
      <c r="F48" s="28" cm="1">
        <f t="array" ref="F48">IFERROR(
    _xlfn.XLOOKUP(
        $A48,
        Table1[Location],
        INDEX(Table1[], , MATCH(F$1, Table1[#Headers], 0))
    ),
"")</f>
        <v>8712</v>
      </c>
      <c r="G48" s="28" cm="1">
        <f t="array" ref="G48">IFERROR(
    _xlfn.XLOOKUP(
        $A48,
        Table1[Location],
        INDEX(Table1[], , MATCH(G$1, Table1[#Headers], 0))
    ),
"")</f>
        <v>10734</v>
      </c>
      <c r="H48" s="28" cm="1">
        <f t="array" ref="H48">IFERROR(
    _xlfn.XLOOKUP(
        $A48,
        Table1[Location],
        INDEX(Table1[], , MATCH(H$1, Table1[#Headers], 0))
    ),
"")</f>
        <v>34691</v>
      </c>
      <c r="I48" s="28" cm="1">
        <f t="array" ref="I48">IFERROR(
    _xlfn.XLOOKUP(
        $A48,
        Table1[Location],
        INDEX(Table1[], , MATCH(I$1, Table1[#Headers], 0))
    ),
"")</f>
        <v>43665.143550000001</v>
      </c>
      <c r="J48" s="28" cm="1">
        <f t="array" ref="J48">IFERROR(
    _xlfn.XLOOKUP(
        $A48,
        Table1[Location],
        INDEX(Table1[], , MATCH(J$1, Table1[#Headers], 0))
    ),
"")</f>
        <v>25872</v>
      </c>
      <c r="K48" s="28" cm="1">
        <f t="array" ref="K48">IFERROR(
    _xlfn.XLOOKUP(
        $A48,
        Table1[Location],
        INDEX(Table1[], , MATCH(K$1, Table1[#Headers], 0))
    ),
"")</f>
        <v>12761</v>
      </c>
      <c r="L48" s="28" cm="1">
        <f t="array" ref="L48">IFERROR(
    _xlfn.XLOOKUP(
        $A48,
        Table1[Location],
        INDEX(Table1[], , MATCH(L$1, Table1[#Headers], 0))
    ),
"")</f>
        <v>35222</v>
      </c>
      <c r="M48" s="28" cm="1">
        <f t="array" ref="M48">IFERROR(
    _xlfn.XLOOKUP(
        $A48,
        Table1[Location],
        INDEX(Table1[], , MATCH(M$1, Table1[#Headers], 0))
    ),
"")</f>
        <v>13368</v>
      </c>
      <c r="N48" s="28" cm="1">
        <f t="array" ref="N48">IFERROR(
    _xlfn.XLOOKUP(
        $A48,
        Table1[Location],
        INDEX(Table1[], , MATCH(N$1, Table1[#Headers], 0))
    ),
"")</f>
        <v>8003</v>
      </c>
      <c r="O48" s="28">
        <f t="shared" si="1"/>
        <v>225666.14355000001</v>
      </c>
      <c r="Q48" s="28">
        <f t="shared" si="2"/>
        <v>62.89</v>
      </c>
      <c r="R48" s="28">
        <f t="shared" si="3"/>
        <v>60.120000000000005</v>
      </c>
      <c r="S48" s="28">
        <f t="shared" si="4"/>
        <v>203.37</v>
      </c>
      <c r="T48" s="28">
        <f t="shared" si="5"/>
        <v>87.12</v>
      </c>
      <c r="U48" s="28">
        <f t="shared" si="6"/>
        <v>107.34</v>
      </c>
      <c r="V48" s="28">
        <f t="shared" si="7"/>
        <v>346.91</v>
      </c>
      <c r="W48" s="28">
        <f t="shared" si="8"/>
        <v>436.65143549999999</v>
      </c>
      <c r="X48" s="28">
        <f t="shared" si="9"/>
        <v>258.72000000000003</v>
      </c>
      <c r="Y48" s="28">
        <f t="shared" si="10"/>
        <v>127.61</v>
      </c>
      <c r="Z48" s="28">
        <f t="shared" si="11"/>
        <v>352.22</v>
      </c>
      <c r="AA48" s="28">
        <f t="shared" si="12"/>
        <v>133.68</v>
      </c>
      <c r="AB48" s="28">
        <f t="shared" si="13"/>
        <v>80.03</v>
      </c>
      <c r="AC48" s="28">
        <f t="shared" si="14"/>
        <v>2256.6614355000002</v>
      </c>
    </row>
    <row r="49" spans="1:29" x14ac:dyDescent="0.3">
      <c r="A49" s="29" t="s">
        <v>122</v>
      </c>
      <c r="B49" s="32" t="str" cm="1">
        <f t="array" ref="B49">IFERROR(
    _xlfn.XLOOKUP(
        $A49,
        Table1[Location],
        INDEX(Table1[], , MATCH(B$1, Table1[#Headers], 0))
    ),
"")</f>
        <v>NE</v>
      </c>
      <c r="C49" s="28" cm="1">
        <f t="array" ref="C49">IFERROR(
    _xlfn.XLOOKUP(
        $A49,
        Table1[Location],
        INDEX(Table1[], , MATCH(C$1, Table1[#Headers], 0))
    ),
"")</f>
        <v>9544</v>
      </c>
      <c r="D49" s="28" cm="1">
        <f t="array" ref="D49">IFERROR(
    _xlfn.XLOOKUP(
        $A49,
        Table1[Location],
        INDEX(Table1[], , MATCH(D$1, Table1[#Headers], 0))
    ),
"")</f>
        <v>3759.9581669999998</v>
      </c>
      <c r="E49" s="28" cm="1">
        <f t="array" ref="E49">IFERROR(
    _xlfn.XLOOKUP(
        $A49,
        Table1[Location],
        INDEX(Table1[], , MATCH(E$1, Table1[#Headers], 0))
    ),
"")</f>
        <v>34196</v>
      </c>
      <c r="F49" s="28" cm="1">
        <f t="array" ref="F49">IFERROR(
    _xlfn.XLOOKUP(
        $A49,
        Table1[Location],
        INDEX(Table1[], , MATCH(F$1, Table1[#Headers], 0))
    ),
"")</f>
        <v>48272</v>
      </c>
      <c r="G49" s="28" cm="1">
        <f t="array" ref="G49">IFERROR(
    _xlfn.XLOOKUP(
        $A49,
        Table1[Location],
        INDEX(Table1[], , MATCH(G$1, Table1[#Headers], 0))
    ),
"")</f>
        <v>65632</v>
      </c>
      <c r="H49" s="28" cm="1">
        <f t="array" ref="H49">IFERROR(
    _xlfn.XLOOKUP(
        $A49,
        Table1[Location],
        INDEX(Table1[], , MATCH(H$1, Table1[#Headers], 0))
    ),
"")</f>
        <v>41290</v>
      </c>
      <c r="I49" s="28" cm="1">
        <f t="array" ref="I49">IFERROR(
    _xlfn.XLOOKUP(
        $A49,
        Table1[Location],
        INDEX(Table1[], , MATCH(I$1, Table1[#Headers], 0))
    ),
"")</f>
        <v>41157</v>
      </c>
      <c r="J49" s="28" cm="1">
        <f t="array" ref="J49">IFERROR(
    _xlfn.XLOOKUP(
        $A49,
        Table1[Location],
        INDEX(Table1[], , MATCH(J$1, Table1[#Headers], 0))
    ),
"")</f>
        <v>93342</v>
      </c>
      <c r="K49" s="28" cm="1">
        <f t="array" ref="K49">IFERROR(
    _xlfn.XLOOKUP(
        $A49,
        Table1[Location],
        INDEX(Table1[], , MATCH(K$1, Table1[#Headers], 0))
    ),
"")</f>
        <v>58267</v>
      </c>
      <c r="L49" s="28" cm="1">
        <f t="array" ref="L49">IFERROR(
    _xlfn.XLOOKUP(
        $A49,
        Table1[Location],
        INDEX(Table1[], , MATCH(L$1, Table1[#Headers], 0))
    ),
"")</f>
        <v>195321</v>
      </c>
      <c r="M49" s="28" cm="1">
        <f t="array" ref="M49">IFERROR(
    _xlfn.XLOOKUP(
        $A49,
        Table1[Location],
        INDEX(Table1[], , MATCH(M$1, Table1[#Headers], 0))
    ),
"")</f>
        <v>18123</v>
      </c>
      <c r="N49" s="28" cm="1">
        <f t="array" ref="N49">IFERROR(
    _xlfn.XLOOKUP(
        $A49,
        Table1[Location],
        INDEX(Table1[], , MATCH(N$1, Table1[#Headers], 0))
    ),
"")</f>
        <v>23690</v>
      </c>
      <c r="O49" s="28">
        <f t="shared" si="1"/>
        <v>632593.95816699998</v>
      </c>
      <c r="Q49" s="28">
        <f t="shared" si="2"/>
        <v>95.44</v>
      </c>
      <c r="R49" s="28">
        <f t="shared" si="3"/>
        <v>37.599581669999999</v>
      </c>
      <c r="S49" s="28">
        <f t="shared" si="4"/>
        <v>341.96</v>
      </c>
      <c r="T49" s="28">
        <f t="shared" si="5"/>
        <v>482.72</v>
      </c>
      <c r="U49" s="28">
        <f t="shared" si="6"/>
        <v>656.32</v>
      </c>
      <c r="V49" s="28">
        <f t="shared" si="7"/>
        <v>412.90000000000003</v>
      </c>
      <c r="W49" s="28">
        <f t="shared" si="8"/>
        <v>411.57</v>
      </c>
      <c r="X49" s="28">
        <f t="shared" si="9"/>
        <v>933.42000000000007</v>
      </c>
      <c r="Y49" s="28">
        <f t="shared" si="10"/>
        <v>582.66999999999996</v>
      </c>
      <c r="Z49" s="28">
        <f t="shared" si="11"/>
        <v>1953.21</v>
      </c>
      <c r="AA49" s="28">
        <f t="shared" si="12"/>
        <v>181.23</v>
      </c>
      <c r="AB49" s="28">
        <f t="shared" si="13"/>
        <v>236.9</v>
      </c>
      <c r="AC49" s="28">
        <f t="shared" si="14"/>
        <v>6325.9395816699998</v>
      </c>
    </row>
    <row r="50" spans="1:29" x14ac:dyDescent="0.3">
      <c r="A50" s="29" t="s">
        <v>124</v>
      </c>
      <c r="B50" s="32" t="str" cm="1">
        <f t="array" ref="B50">IFERROR(
    _xlfn.XLOOKUP(
        $A50,
        Table1[Location],
        INDEX(Table1[], , MATCH(B$1, Table1[#Headers], 0))
    ),
"")</f>
        <v>TBD</v>
      </c>
      <c r="C50" s="28" cm="1">
        <f t="array" ref="C50">IFERROR(
    _xlfn.XLOOKUP(
        $A50,
        Table1[Location],
        INDEX(Table1[], , MATCH(C$1, Table1[#Headers], 0))
    ),
"")</f>
        <v>0</v>
      </c>
      <c r="D50" s="28" cm="1">
        <f t="array" ref="D50">IFERROR(
    _xlfn.XLOOKUP(
        $A50,
        Table1[Location],
        INDEX(Table1[], , MATCH(D$1, Table1[#Headers], 0))
    ),
"")</f>
        <v>5000</v>
      </c>
      <c r="E50" s="28" cm="1">
        <f t="array" ref="E50">IFERROR(
    _xlfn.XLOOKUP(
        $A50,
        Table1[Location],
        INDEX(Table1[], , MATCH(E$1, Table1[#Headers], 0))
    ),
"")</f>
        <v>7500</v>
      </c>
      <c r="F50" s="28" cm="1">
        <f t="array" ref="F50">IFERROR(
    _xlfn.XLOOKUP(
        $A50,
        Table1[Location],
        INDEX(Table1[], , MATCH(F$1, Table1[#Headers], 0))
    ),
"")</f>
        <v>10000</v>
      </c>
      <c r="G50" s="28" cm="1">
        <f t="array" ref="G50">IFERROR(
    _xlfn.XLOOKUP(
        $A50,
        Table1[Location],
        INDEX(Table1[], , MATCH(G$1, Table1[#Headers], 0))
    ),
"")</f>
        <v>25000</v>
      </c>
      <c r="H50" s="28" cm="1">
        <f t="array" ref="H50">IFERROR(
    _xlfn.XLOOKUP(
        $A50,
        Table1[Location],
        INDEX(Table1[], , MATCH(H$1, Table1[#Headers], 0))
    ),
"")</f>
        <v>31498.593516915149</v>
      </c>
      <c r="I50" s="28" cm="1">
        <f t="array" ref="I50">IFERROR(
    _xlfn.XLOOKUP(
        $A50,
        Table1[Location],
        INDEX(Table1[], , MATCH(I$1, Table1[#Headers], 0))
    ),
"")</f>
        <v>19500</v>
      </c>
      <c r="J50" s="28" cm="1">
        <f t="array" ref="J50">IFERROR(
    _xlfn.XLOOKUP(
        $A50,
        Table1[Location],
        INDEX(Table1[], , MATCH(J$1, Table1[#Headers], 0))
    ),
"")</f>
        <v>15200</v>
      </c>
      <c r="K50" s="28" cm="1">
        <f t="array" ref="K50">IFERROR(
    _xlfn.XLOOKUP(
        $A50,
        Table1[Location],
        INDEX(Table1[], , MATCH(K$1, Table1[#Headers], 0))
    ),
"")</f>
        <v>25340</v>
      </c>
      <c r="L50" s="28" cm="1">
        <f t="array" ref="L50">IFERROR(
    _xlfn.XLOOKUP(
        $A50,
        Table1[Location],
        INDEX(Table1[], , MATCH(L$1, Table1[#Headers], 0))
    ),
"")</f>
        <v>16409.807576736312</v>
      </c>
      <c r="M50" s="28" cm="1">
        <f t="array" ref="M50">IFERROR(
    _xlfn.XLOOKUP(
        $A50,
        Table1[Location],
        INDEX(Table1[], , MATCH(M$1, Table1[#Headers], 0))
    ),
"")</f>
        <v>16240</v>
      </c>
      <c r="N50" s="28" cm="1">
        <f t="array" ref="N50">IFERROR(
    _xlfn.XLOOKUP(
        $A50,
        Table1[Location],
        INDEX(Table1[], , MATCH(N$1, Table1[#Headers], 0))
    ),
"")</f>
        <v>11608.04863130822</v>
      </c>
      <c r="O50" s="28">
        <f t="shared" si="1"/>
        <v>183296.4497249597</v>
      </c>
      <c r="Q50" s="28">
        <f t="shared" si="2"/>
        <v>0</v>
      </c>
      <c r="R50" s="28">
        <f t="shared" si="3"/>
        <v>50</v>
      </c>
      <c r="S50" s="28">
        <f t="shared" si="4"/>
        <v>75</v>
      </c>
      <c r="T50" s="28">
        <f t="shared" si="5"/>
        <v>100</v>
      </c>
      <c r="U50" s="28">
        <f t="shared" si="6"/>
        <v>250</v>
      </c>
      <c r="V50" s="28">
        <f t="shared" si="7"/>
        <v>314.9859351691515</v>
      </c>
      <c r="W50" s="28">
        <f t="shared" si="8"/>
        <v>195</v>
      </c>
      <c r="X50" s="28">
        <f t="shared" si="9"/>
        <v>152</v>
      </c>
      <c r="Y50" s="28">
        <f t="shared" si="10"/>
        <v>253.4</v>
      </c>
      <c r="Z50" s="28">
        <f t="shared" si="11"/>
        <v>164.09807576736313</v>
      </c>
      <c r="AA50" s="28">
        <f t="shared" si="12"/>
        <v>162.4</v>
      </c>
      <c r="AB50" s="28">
        <f t="shared" si="13"/>
        <v>116.0804863130822</v>
      </c>
      <c r="AC50" s="28">
        <f t="shared" si="14"/>
        <v>1832.9644972495971</v>
      </c>
    </row>
    <row r="51" spans="1:29" x14ac:dyDescent="0.3">
      <c r="A51" s="29" t="s">
        <v>125</v>
      </c>
      <c r="B51" s="32" t="str" cm="1">
        <f t="array" ref="B51">IFERROR(
    _xlfn.XLOOKUP(
        $A51,
        Table1[Location],
        INDEX(Table1[], , MATCH(B$1, Table1[#Headers], 0))
    ),
"")</f>
        <v>TBD</v>
      </c>
      <c r="C51" s="28" cm="1">
        <f t="array" ref="C51">IFERROR(
    _xlfn.XLOOKUP(
        $A51,
        Table1[Location],
        INDEX(Table1[], , MATCH(C$1, Table1[#Headers], 0))
    ),
"")</f>
        <v>0</v>
      </c>
      <c r="D51" s="28" cm="1">
        <f t="array" ref="D51">IFERROR(
    _xlfn.XLOOKUP(
        $A51,
        Table1[Location],
        INDEX(Table1[], , MATCH(D$1, Table1[#Headers], 0))
    ),
"")</f>
        <v>5000</v>
      </c>
      <c r="E51" s="28" cm="1">
        <f t="array" ref="E51">IFERROR(
    _xlfn.XLOOKUP(
        $A51,
        Table1[Location],
        INDEX(Table1[], , MATCH(E$1, Table1[#Headers], 0))
    ),
"")</f>
        <v>7500</v>
      </c>
      <c r="F51" s="28" cm="1">
        <f t="array" ref="F51">IFERROR(
    _xlfn.XLOOKUP(
        $A51,
        Table1[Location],
        INDEX(Table1[], , MATCH(F$1, Table1[#Headers], 0))
    ),
"")</f>
        <v>10000</v>
      </c>
      <c r="G51" s="28" cm="1">
        <f t="array" ref="G51">IFERROR(
    _xlfn.XLOOKUP(
        $A51,
        Table1[Location],
        INDEX(Table1[], , MATCH(G$1, Table1[#Headers], 0))
    ),
"")</f>
        <v>25000</v>
      </c>
      <c r="H51" s="28" cm="1">
        <f t="array" ref="H51">IFERROR(
    _xlfn.XLOOKUP(
        $A51,
        Table1[Location],
        INDEX(Table1[], , MATCH(H$1, Table1[#Headers], 0))
    ),
"")</f>
        <v>27067.833680392621</v>
      </c>
      <c r="I51" s="28" cm="1">
        <f t="array" ref="I51">IFERROR(
    _xlfn.XLOOKUP(
        $A51,
        Table1[Location],
        INDEX(Table1[], , MATCH(I$1, Table1[#Headers], 0))
    ),
"")</f>
        <v>18750</v>
      </c>
      <c r="J51" s="28" cm="1">
        <f t="array" ref="J51">IFERROR(
    _xlfn.XLOOKUP(
        $A51,
        Table1[Location],
        INDEX(Table1[], , MATCH(J$1, Table1[#Headers], 0))
    ),
"")</f>
        <v>16520</v>
      </c>
      <c r="K51" s="28" cm="1">
        <f t="array" ref="K51">IFERROR(
    _xlfn.XLOOKUP(
        $A51,
        Table1[Location],
        INDEX(Table1[], , MATCH(K$1, Table1[#Headers], 0))
    ),
"")</f>
        <v>23316.885474764422</v>
      </c>
      <c r="L51" s="28" cm="1">
        <f t="array" ref="L51">IFERROR(
    _xlfn.XLOOKUP(
        $A51,
        Table1[Location],
        INDEX(Table1[], , MATCH(L$1, Table1[#Headers], 0))
    ),
"")</f>
        <v>14320</v>
      </c>
      <c r="M51" s="28" cm="1">
        <f t="array" ref="M51">IFERROR(
    _xlfn.XLOOKUP(
        $A51,
        Table1[Location],
        INDEX(Table1[], , MATCH(M$1, Table1[#Headers], 0))
    ),
"")</f>
        <v>15786.298011065481</v>
      </c>
      <c r="N51" s="28" cm="1">
        <f t="array" ref="N51">IFERROR(
    _xlfn.XLOOKUP(
        $A51,
        Table1[Location],
        INDEX(Table1[], , MATCH(N$1, Table1[#Headers], 0))
    ),
"")</f>
        <v>8816.4316643891343</v>
      </c>
      <c r="O51" s="28">
        <f t="shared" si="1"/>
        <v>172077.44883061165</v>
      </c>
      <c r="Q51" s="28">
        <f t="shared" si="2"/>
        <v>0</v>
      </c>
      <c r="R51" s="28">
        <f t="shared" si="3"/>
        <v>50</v>
      </c>
      <c r="S51" s="28">
        <f t="shared" si="4"/>
        <v>75</v>
      </c>
      <c r="T51" s="28">
        <f t="shared" si="5"/>
        <v>100</v>
      </c>
      <c r="U51" s="28">
        <f t="shared" si="6"/>
        <v>250</v>
      </c>
      <c r="V51" s="28">
        <f t="shared" si="7"/>
        <v>270.67833680392624</v>
      </c>
      <c r="W51" s="28">
        <f t="shared" si="8"/>
        <v>187.5</v>
      </c>
      <c r="X51" s="28">
        <f t="shared" si="9"/>
        <v>165.20000000000002</v>
      </c>
      <c r="Y51" s="28">
        <f t="shared" si="10"/>
        <v>233.16885474764422</v>
      </c>
      <c r="Z51" s="28">
        <f t="shared" si="11"/>
        <v>143.20000000000002</v>
      </c>
      <c r="AA51" s="28">
        <f t="shared" si="12"/>
        <v>157.8629801106548</v>
      </c>
      <c r="AB51" s="28">
        <f t="shared" si="13"/>
        <v>88.16431664389134</v>
      </c>
      <c r="AC51" s="28">
        <f t="shared" si="14"/>
        <v>1720.7744883061166</v>
      </c>
    </row>
    <row r="52" spans="1:29" x14ac:dyDescent="0.3">
      <c r="A52" s="29" t="s">
        <v>126</v>
      </c>
      <c r="B52" s="32" t="str" cm="1">
        <f t="array" ref="B52">IFERROR(
    _xlfn.XLOOKUP(
        $A52,
        Table1[Location],
        INDEX(Table1[], , MATCH(B$1, Table1[#Headers], 0))
    ),
"")</f>
        <v>TBD</v>
      </c>
      <c r="C52" s="28" cm="1">
        <f t="array" ref="C52">IFERROR(
    _xlfn.XLOOKUP(
        $A52,
        Table1[Location],
        INDEX(Table1[], , MATCH(C$1, Table1[#Headers], 0))
    ),
"")</f>
        <v>0</v>
      </c>
      <c r="D52" s="28" cm="1">
        <f t="array" ref="D52">IFERROR(
    _xlfn.XLOOKUP(
        $A52,
        Table1[Location],
        INDEX(Table1[], , MATCH(D$1, Table1[#Headers], 0))
    ),
"")</f>
        <v>5000</v>
      </c>
      <c r="E52" s="28" cm="1">
        <f t="array" ref="E52">IFERROR(
    _xlfn.XLOOKUP(
        $A52,
        Table1[Location],
        INDEX(Table1[], , MATCH(E$1, Table1[#Headers], 0))
    ),
"")</f>
        <v>7500</v>
      </c>
      <c r="F52" s="28" cm="1">
        <f t="array" ref="F52">IFERROR(
    _xlfn.XLOOKUP(
        $A52,
        Table1[Location],
        INDEX(Table1[], , MATCH(F$1, Table1[#Headers], 0))
    ),
"")</f>
        <v>10000</v>
      </c>
      <c r="G52" s="28" cm="1">
        <f t="array" ref="G52">IFERROR(
    _xlfn.XLOOKUP(
        $A52,
        Table1[Location],
        INDEX(Table1[], , MATCH(G$1, Table1[#Headers], 0))
    ),
"")</f>
        <v>25000</v>
      </c>
      <c r="H52" s="28" cm="1">
        <f t="array" ref="H52">IFERROR(
    _xlfn.XLOOKUP(
        $A52,
        Table1[Location],
        INDEX(Table1[], , MATCH(H$1, Table1[#Headers], 0))
    ),
"")</f>
        <v>19856.669039350389</v>
      </c>
      <c r="I52" s="28" cm="1">
        <f t="array" ref="I52">IFERROR(
    _xlfn.XLOOKUP(
        $A52,
        Table1[Location],
        INDEX(Table1[], , MATCH(I$1, Table1[#Headers], 0))
    ),
"")</f>
        <v>15265</v>
      </c>
      <c r="J52" s="28" cm="1">
        <f t="array" ref="J52">IFERROR(
    _xlfn.XLOOKUP(
        $A52,
        Table1[Location],
        INDEX(Table1[], , MATCH(J$1, Table1[#Headers], 0))
    ),
"")</f>
        <v>19220</v>
      </c>
      <c r="K52" s="28" cm="1">
        <f t="array" ref="K52">IFERROR(
    _xlfn.XLOOKUP(
        $A52,
        Table1[Location],
        INDEX(Table1[], , MATCH(K$1, Table1[#Headers], 0))
    ),
"")</f>
        <v>6720</v>
      </c>
      <c r="L52" s="28" cm="1">
        <f t="array" ref="L52">IFERROR(
    _xlfn.XLOOKUP(
        $A52,
        Table1[Location],
        INDEX(Table1[], , MATCH(L$1, Table1[#Headers], 0))
    ),
"")</f>
        <v>13140.023167478979</v>
      </c>
      <c r="M52" s="28" cm="1">
        <f t="array" ref="M52">IFERROR(
    _xlfn.XLOOKUP(
        $A52,
        Table1[Location],
        INDEX(Table1[], , MATCH(M$1, Table1[#Headers], 0))
    ),
"")</f>
        <v>11408.024972837589</v>
      </c>
      <c r="N52" s="28" cm="1">
        <f t="array" ref="N52">IFERROR(
    _xlfn.XLOOKUP(
        $A52,
        Table1[Location],
        INDEX(Table1[], , MATCH(N$1, Table1[#Headers], 0))
    ),
"")</f>
        <v>13567.906218154159</v>
      </c>
      <c r="O52" s="28">
        <f t="shared" si="1"/>
        <v>146677.62339782109</v>
      </c>
      <c r="Q52" s="28">
        <f t="shared" si="2"/>
        <v>0</v>
      </c>
      <c r="R52" s="28">
        <f t="shared" si="3"/>
        <v>50</v>
      </c>
      <c r="S52" s="28">
        <f t="shared" si="4"/>
        <v>75</v>
      </c>
      <c r="T52" s="28">
        <f t="shared" si="5"/>
        <v>100</v>
      </c>
      <c r="U52" s="28">
        <f t="shared" si="6"/>
        <v>250</v>
      </c>
      <c r="V52" s="28">
        <f t="shared" si="7"/>
        <v>198.5666903935039</v>
      </c>
      <c r="W52" s="28">
        <f t="shared" si="8"/>
        <v>152.65</v>
      </c>
      <c r="X52" s="28">
        <f t="shared" si="9"/>
        <v>192.20000000000002</v>
      </c>
      <c r="Y52" s="28">
        <f t="shared" si="10"/>
        <v>67.2</v>
      </c>
      <c r="Z52" s="28">
        <f t="shared" si="11"/>
        <v>131.40023167478981</v>
      </c>
      <c r="AA52" s="28">
        <f t="shared" si="12"/>
        <v>114.08024972837589</v>
      </c>
      <c r="AB52" s="28">
        <f t="shared" si="13"/>
        <v>135.67906218154161</v>
      </c>
      <c r="AC52" s="28">
        <f t="shared" si="14"/>
        <v>1466.7762339782114</v>
      </c>
    </row>
    <row r="53" spans="1:29" x14ac:dyDescent="0.3">
      <c r="A53" s="29" t="s">
        <v>127</v>
      </c>
      <c r="B53" s="32" t="str" cm="1">
        <f t="array" ref="B53">IFERROR(
    _xlfn.XLOOKUP(
        $A53,
        Table1[Location],
        INDEX(Table1[], , MATCH(B$1, Table1[#Headers], 0))
    ),
"")</f>
        <v>TBD</v>
      </c>
      <c r="C53" s="28" cm="1">
        <f t="array" ref="C53">IFERROR(
    _xlfn.XLOOKUP(
        $A53,
        Table1[Location],
        INDEX(Table1[], , MATCH(C$1, Table1[#Headers], 0))
    ),
"")</f>
        <v>0</v>
      </c>
      <c r="D53" s="28" cm="1">
        <f t="array" ref="D53">IFERROR(
    _xlfn.XLOOKUP(
        $A53,
        Table1[Location],
        INDEX(Table1[], , MATCH(D$1, Table1[#Headers], 0))
    ),
"")</f>
        <v>5000</v>
      </c>
      <c r="E53" s="28" cm="1">
        <f t="array" ref="E53">IFERROR(
    _xlfn.XLOOKUP(
        $A53,
        Table1[Location],
        INDEX(Table1[], , MATCH(E$1, Table1[#Headers], 0))
    ),
"")</f>
        <v>7500</v>
      </c>
      <c r="F53" s="28" cm="1">
        <f t="array" ref="F53">IFERROR(
    _xlfn.XLOOKUP(
        $A53,
        Table1[Location],
        INDEX(Table1[], , MATCH(F$1, Table1[#Headers], 0))
    ),
"")</f>
        <v>10000</v>
      </c>
      <c r="G53" s="28" cm="1">
        <f t="array" ref="G53">IFERROR(
    _xlfn.XLOOKUP(
        $A53,
        Table1[Location],
        INDEX(Table1[], , MATCH(G$1, Table1[#Headers], 0))
    ),
"")</f>
        <v>25000</v>
      </c>
      <c r="H53" s="28" cm="1">
        <f t="array" ref="H53">IFERROR(
    _xlfn.XLOOKUP(
        $A53,
        Table1[Location],
        INDEX(Table1[], , MATCH(H$1, Table1[#Headers], 0))
    ),
"")</f>
        <v>18625</v>
      </c>
      <c r="I53" s="28" cm="1">
        <f t="array" ref="I53">IFERROR(
    _xlfn.XLOOKUP(
        $A53,
        Table1[Location],
        INDEX(Table1[], , MATCH(I$1, Table1[#Headers], 0))
    ),
"")</f>
        <v>20145</v>
      </c>
      <c r="J53" s="28" cm="1">
        <f t="array" ref="J53">IFERROR(
    _xlfn.XLOOKUP(
        $A53,
        Table1[Location],
        INDEX(Table1[], , MATCH(J$1, Table1[#Headers], 0))
    ),
"")</f>
        <v>18654</v>
      </c>
      <c r="K53" s="28" cm="1">
        <f t="array" ref="K53">IFERROR(
    _xlfn.XLOOKUP(
        $A53,
        Table1[Location],
        INDEX(Table1[], , MATCH(K$1, Table1[#Headers], 0))
    ),
"")</f>
        <v>11564</v>
      </c>
      <c r="L53" s="28" cm="1">
        <f t="array" ref="L53">IFERROR(
    _xlfn.XLOOKUP(
        $A53,
        Table1[Location],
        INDEX(Table1[], , MATCH(L$1, Table1[#Headers], 0))
    ),
"")</f>
        <v>13047.96437737933</v>
      </c>
      <c r="M53" s="28" cm="1">
        <f t="array" ref="M53">IFERROR(
    _xlfn.XLOOKUP(
        $A53,
        Table1[Location],
        INDEX(Table1[], , MATCH(M$1, Table1[#Headers], 0))
    ),
"")</f>
        <v>15254</v>
      </c>
      <c r="N53" s="28" cm="1">
        <f t="array" ref="N53">IFERROR(
    _xlfn.XLOOKUP(
        $A53,
        Table1[Location],
        INDEX(Table1[], , MATCH(N$1, Table1[#Headers], 0))
    ),
"")</f>
        <v>8045.1936683309759</v>
      </c>
      <c r="O53" s="28">
        <f t="shared" si="1"/>
        <v>152835.1580457103</v>
      </c>
      <c r="Q53" s="28">
        <f t="shared" si="2"/>
        <v>0</v>
      </c>
      <c r="R53" s="28">
        <f t="shared" si="3"/>
        <v>50</v>
      </c>
      <c r="S53" s="28">
        <f t="shared" si="4"/>
        <v>75</v>
      </c>
      <c r="T53" s="28">
        <f t="shared" si="5"/>
        <v>100</v>
      </c>
      <c r="U53" s="28">
        <f t="shared" si="6"/>
        <v>250</v>
      </c>
      <c r="V53" s="28">
        <f t="shared" si="7"/>
        <v>186.25</v>
      </c>
      <c r="W53" s="28">
        <f t="shared" si="8"/>
        <v>201.45000000000002</v>
      </c>
      <c r="X53" s="28">
        <f t="shared" si="9"/>
        <v>186.54</v>
      </c>
      <c r="Y53" s="28">
        <f t="shared" si="10"/>
        <v>115.64</v>
      </c>
      <c r="Z53" s="28">
        <f t="shared" si="11"/>
        <v>130.4796437737933</v>
      </c>
      <c r="AA53" s="28">
        <f t="shared" si="12"/>
        <v>152.54</v>
      </c>
      <c r="AB53" s="28">
        <f t="shared" si="13"/>
        <v>80.451936683309768</v>
      </c>
      <c r="AC53" s="28">
        <f t="shared" si="14"/>
        <v>1528.351580457103</v>
      </c>
    </row>
    <row r="54" spans="1:29" x14ac:dyDescent="0.3">
      <c r="A54" s="29" t="s">
        <v>129</v>
      </c>
      <c r="B54" s="32" t="str" cm="1">
        <f t="array" ref="B54">IFERROR(
    _xlfn.XLOOKUP(
        $A54,
        Table1[Location],
        INDEX(Table1[], , MATCH(B$1, Table1[#Headers], 0))
    ),
"")</f>
        <v>TBD</v>
      </c>
      <c r="C54" s="28" cm="1">
        <f t="array" ref="C54">IFERROR(
    _xlfn.XLOOKUP(
        $A54,
        Table1[Location],
        INDEX(Table1[], , MATCH(C$1, Table1[#Headers], 0))
    ),
"")</f>
        <v>0</v>
      </c>
      <c r="D54" s="28" cm="1">
        <f t="array" ref="D54">IFERROR(
    _xlfn.XLOOKUP(
        $A54,
        Table1[Location],
        INDEX(Table1[], , MATCH(D$1, Table1[#Headers], 0))
    ),
"")</f>
        <v>5000</v>
      </c>
      <c r="E54" s="28" cm="1">
        <f t="array" ref="E54">IFERROR(
    _xlfn.XLOOKUP(
        $A54,
        Table1[Location],
        INDEX(Table1[], , MATCH(E$1, Table1[#Headers], 0))
    ),
"")</f>
        <v>7500</v>
      </c>
      <c r="F54" s="28" cm="1">
        <f t="array" ref="F54">IFERROR(
    _xlfn.XLOOKUP(
        $A54,
        Table1[Location],
        INDEX(Table1[], , MATCH(F$1, Table1[#Headers], 0))
    ),
"")</f>
        <v>10000</v>
      </c>
      <c r="G54" s="28" cm="1">
        <f t="array" ref="G54">IFERROR(
    _xlfn.XLOOKUP(
        $A54,
        Table1[Location],
        INDEX(Table1[], , MATCH(G$1, Table1[#Headers], 0))
    ),
"")</f>
        <v>25000</v>
      </c>
      <c r="H54" s="28" cm="1">
        <f t="array" ref="H54">IFERROR(
    _xlfn.XLOOKUP(
        $A54,
        Table1[Location],
        INDEX(Table1[], , MATCH(H$1, Table1[#Headers], 0))
    ),
"")</f>
        <v>14625</v>
      </c>
      <c r="I54" s="28" cm="1">
        <f t="array" ref="I54">IFERROR(
    _xlfn.XLOOKUP(
        $A54,
        Table1[Location],
        INDEX(Table1[], , MATCH(I$1, Table1[#Headers], 0))
    ),
"")</f>
        <v>22321</v>
      </c>
      <c r="J54" s="28" cm="1">
        <f t="array" ref="J54">IFERROR(
    _xlfn.XLOOKUP(
        $A54,
        Table1[Location],
        INDEX(Table1[], , MATCH(J$1, Table1[#Headers], 0))
    ),
"")</f>
        <v>23460.674631974871</v>
      </c>
      <c r="K54" s="28" cm="1">
        <f t="array" ref="K54">IFERROR(
    _xlfn.XLOOKUP(
        $A54,
        Table1[Location],
        INDEX(Table1[], , MATCH(K$1, Table1[#Headers], 0))
    ),
"")</f>
        <v>9654</v>
      </c>
      <c r="L54" s="28" cm="1">
        <f t="array" ref="L54">IFERROR(
    _xlfn.XLOOKUP(
        $A54,
        Table1[Location],
        INDEX(Table1[], , MATCH(L$1, Table1[#Headers], 0))
    ),
"")</f>
        <v>22960.219855852451</v>
      </c>
      <c r="M54" s="28" cm="1">
        <f t="array" ref="M54">IFERROR(
    _xlfn.XLOOKUP(
        $A54,
        Table1[Location],
        INDEX(Table1[], , MATCH(M$1, Table1[#Headers], 0))
    ),
"")</f>
        <v>10538.280653646651</v>
      </c>
      <c r="N54" s="28" cm="1">
        <f t="array" ref="N54">IFERROR(
    _xlfn.XLOOKUP(
        $A54,
        Table1[Location],
        INDEX(Table1[], , MATCH(N$1, Table1[#Headers], 0))
    ),
"")</f>
        <v>7556.6387828284624</v>
      </c>
      <c r="O54" s="28">
        <f t="shared" si="1"/>
        <v>158615.81392430243</v>
      </c>
      <c r="Q54" s="28">
        <f t="shared" si="2"/>
        <v>0</v>
      </c>
      <c r="R54" s="28">
        <f t="shared" si="3"/>
        <v>50</v>
      </c>
      <c r="S54" s="28">
        <f t="shared" si="4"/>
        <v>75</v>
      </c>
      <c r="T54" s="28">
        <f t="shared" si="5"/>
        <v>100</v>
      </c>
      <c r="U54" s="28">
        <f t="shared" si="6"/>
        <v>250</v>
      </c>
      <c r="V54" s="28">
        <f t="shared" si="7"/>
        <v>146.25</v>
      </c>
      <c r="W54" s="28">
        <f t="shared" si="8"/>
        <v>223.21</v>
      </c>
      <c r="X54" s="28">
        <f t="shared" si="9"/>
        <v>234.60674631974871</v>
      </c>
      <c r="Y54" s="28">
        <f t="shared" si="10"/>
        <v>96.54</v>
      </c>
      <c r="Z54" s="28">
        <f t="shared" si="11"/>
        <v>229.60219855852452</v>
      </c>
      <c r="AA54" s="28">
        <f t="shared" si="12"/>
        <v>105.3828065364665</v>
      </c>
      <c r="AB54" s="28">
        <f t="shared" si="13"/>
        <v>75.566387828284618</v>
      </c>
      <c r="AC54" s="28">
        <f t="shared" si="14"/>
        <v>1586.1581392430244</v>
      </c>
    </row>
    <row r="55" spans="1:29" x14ac:dyDescent="0.3">
      <c r="A55" s="29" t="s">
        <v>131</v>
      </c>
      <c r="B55" s="32" t="str" cm="1">
        <f t="array" ref="B55">IFERROR(
    _xlfn.XLOOKUP(
        $A55,
        Table1[Location],
        INDEX(Table1[], , MATCH(B$1, Table1[#Headers], 0))
    ),
"")</f>
        <v>TBD</v>
      </c>
      <c r="C55" s="28" cm="1">
        <f t="array" ref="C55">IFERROR(
    _xlfn.XLOOKUP(
        $A55,
        Table1[Location],
        INDEX(Table1[], , MATCH(C$1, Table1[#Headers], 0))
    ),
"")</f>
        <v>0</v>
      </c>
      <c r="D55" s="28" cm="1">
        <f t="array" ref="D55">IFERROR(
    _xlfn.XLOOKUP(
        $A55,
        Table1[Location],
        INDEX(Table1[], , MATCH(D$1, Table1[#Headers], 0))
    ),
"")</f>
        <v>0</v>
      </c>
      <c r="E55" s="28" cm="1">
        <f t="array" ref="E55">IFERROR(
    _xlfn.XLOOKUP(
        $A55,
        Table1[Location],
        INDEX(Table1[], , MATCH(E$1, Table1[#Headers], 0))
    ),
"")</f>
        <v>5000</v>
      </c>
      <c r="F55" s="28" cm="1">
        <f t="array" ref="F55">IFERROR(
    _xlfn.XLOOKUP(
        $A55,
        Table1[Location],
        INDEX(Table1[], , MATCH(F$1, Table1[#Headers], 0))
    ),
"")</f>
        <v>7500</v>
      </c>
      <c r="G55" s="28" cm="1">
        <f t="array" ref="G55">IFERROR(
    _xlfn.XLOOKUP(
        $A55,
        Table1[Location],
        INDEX(Table1[], , MATCH(G$1, Table1[#Headers], 0))
    ),
"")</f>
        <v>25000</v>
      </c>
      <c r="H55" s="28" cm="1">
        <f t="array" ref="H55">IFERROR(
    _xlfn.XLOOKUP(
        $A55,
        Table1[Location],
        INDEX(Table1[], , MATCH(H$1, Table1[#Headers], 0))
    ),
"")</f>
        <v>18245</v>
      </c>
      <c r="I55" s="28" cm="1">
        <f t="array" ref="I55">IFERROR(
    _xlfn.XLOOKUP(
        $A55,
        Table1[Location],
        INDEX(Table1[], , MATCH(I$1, Table1[#Headers], 0))
    ),
"")</f>
        <v>16521</v>
      </c>
      <c r="J55" s="28" cm="1">
        <f t="array" ref="J55">IFERROR(
    _xlfn.XLOOKUP(
        $A55,
        Table1[Location],
        INDEX(Table1[], , MATCH(J$1, Table1[#Headers], 0))
    ),
"")</f>
        <v>19840</v>
      </c>
      <c r="K55" s="28" cm="1">
        <f t="array" ref="K55">IFERROR(
    _xlfn.XLOOKUP(
        $A55,
        Table1[Location],
        INDEX(Table1[], , MATCH(K$1, Table1[#Headers], 0))
    ),
"")</f>
        <v>7854</v>
      </c>
      <c r="L55" s="28" cm="1">
        <f t="array" ref="L55">IFERROR(
    _xlfn.XLOOKUP(
        $A55,
        Table1[Location],
        INDEX(Table1[], , MATCH(L$1, Table1[#Headers], 0))
    ),
"")</f>
        <v>12548</v>
      </c>
      <c r="M55" s="28" cm="1">
        <f t="array" ref="M55">IFERROR(
    _xlfn.XLOOKUP(
        $A55,
        Table1[Location],
        INDEX(Table1[], , MATCH(M$1, Table1[#Headers], 0))
    ),
"")</f>
        <v>15212</v>
      </c>
      <c r="N55" s="28" cm="1">
        <f t="array" ref="N55">IFERROR(
    _xlfn.XLOOKUP(
        $A55,
        Table1[Location],
        INDEX(Table1[], , MATCH(N$1, Table1[#Headers], 0))
    ),
"")</f>
        <v>7461.4774121842183</v>
      </c>
      <c r="O55" s="28">
        <f t="shared" si="1"/>
        <v>135181.47741218421</v>
      </c>
      <c r="Q55" s="28">
        <f t="shared" si="2"/>
        <v>0</v>
      </c>
      <c r="R55" s="28">
        <f t="shared" si="3"/>
        <v>0</v>
      </c>
      <c r="S55" s="28">
        <f t="shared" si="4"/>
        <v>50</v>
      </c>
      <c r="T55" s="28">
        <f t="shared" si="5"/>
        <v>75</v>
      </c>
      <c r="U55" s="28">
        <f t="shared" si="6"/>
        <v>250</v>
      </c>
      <c r="V55" s="28">
        <f t="shared" si="7"/>
        <v>182.45000000000002</v>
      </c>
      <c r="W55" s="28">
        <f t="shared" si="8"/>
        <v>165.21</v>
      </c>
      <c r="X55" s="28">
        <f t="shared" si="9"/>
        <v>198.4</v>
      </c>
      <c r="Y55" s="28">
        <f t="shared" si="10"/>
        <v>78.540000000000006</v>
      </c>
      <c r="Z55" s="28">
        <f t="shared" si="11"/>
        <v>125.48</v>
      </c>
      <c r="AA55" s="28">
        <f t="shared" si="12"/>
        <v>152.12</v>
      </c>
      <c r="AB55" s="28">
        <f t="shared" si="13"/>
        <v>74.614774121842188</v>
      </c>
      <c r="AC55" s="28">
        <f t="shared" si="14"/>
        <v>1351.814774121842</v>
      </c>
    </row>
    <row r="56" spans="1:29" x14ac:dyDescent="0.3">
      <c r="A56" s="29" t="s">
        <v>133</v>
      </c>
      <c r="B56" s="32" t="str" cm="1">
        <f t="array" ref="B56">IFERROR(
    _xlfn.XLOOKUP(
        $A56,
        Table1[Location],
        INDEX(Table1[], , MATCH(B$1, Table1[#Headers], 0))
    ),
"")</f>
        <v>TBD</v>
      </c>
      <c r="C56" s="28" cm="1">
        <f t="array" ref="C56">IFERROR(
    _xlfn.XLOOKUP(
        $A56,
        Table1[Location],
        INDEX(Table1[], , MATCH(C$1, Table1[#Headers], 0))
    ),
"")</f>
        <v>0</v>
      </c>
      <c r="D56" s="28" cm="1">
        <f t="array" ref="D56">IFERROR(
    _xlfn.XLOOKUP(
        $A56,
        Table1[Location],
        INDEX(Table1[], , MATCH(D$1, Table1[#Headers], 0))
    ),
"")</f>
        <v>0</v>
      </c>
      <c r="E56" s="28" cm="1">
        <f t="array" ref="E56">IFERROR(
    _xlfn.XLOOKUP(
        $A56,
        Table1[Location],
        INDEX(Table1[], , MATCH(E$1, Table1[#Headers], 0))
    ),
"")</f>
        <v>5000</v>
      </c>
      <c r="F56" s="28" cm="1">
        <f t="array" ref="F56">IFERROR(
    _xlfn.XLOOKUP(
        $A56,
        Table1[Location],
        INDEX(Table1[], , MATCH(F$1, Table1[#Headers], 0))
    ),
"")</f>
        <v>7500</v>
      </c>
      <c r="G56" s="28" cm="1">
        <f t="array" ref="G56">IFERROR(
    _xlfn.XLOOKUP(
        $A56,
        Table1[Location],
        INDEX(Table1[], , MATCH(G$1, Table1[#Headers], 0))
    ),
"")</f>
        <v>25000</v>
      </c>
      <c r="H56" s="28" cm="1">
        <f t="array" ref="H56">IFERROR(
    _xlfn.XLOOKUP(
        $A56,
        Table1[Location],
        INDEX(Table1[], , MATCH(H$1, Table1[#Headers], 0))
    ),
"")</f>
        <v>16250</v>
      </c>
      <c r="I56" s="28" cm="1">
        <f t="array" ref="I56">IFERROR(
    _xlfn.XLOOKUP(
        $A56,
        Table1[Location],
        INDEX(Table1[], , MATCH(I$1, Table1[#Headers], 0))
    ),
"")</f>
        <v>18120</v>
      </c>
      <c r="J56" s="28" cm="1">
        <f t="array" ref="J56">IFERROR(
    _xlfn.XLOOKUP(
        $A56,
        Table1[Location],
        INDEX(Table1[], , MATCH(J$1, Table1[#Headers], 0))
    ),
"")</f>
        <v>20169</v>
      </c>
      <c r="K56" s="28" cm="1">
        <f t="array" ref="K56">IFERROR(
    _xlfn.XLOOKUP(
        $A56,
        Table1[Location],
        INDEX(Table1[], , MATCH(K$1, Table1[#Headers], 0))
    ),
"")</f>
        <v>8260</v>
      </c>
      <c r="L56" s="28" cm="1">
        <f t="array" ref="L56">IFERROR(
    _xlfn.XLOOKUP(
        $A56,
        Table1[Location],
        INDEX(Table1[], , MATCH(L$1, Table1[#Headers], 0))
    ),
"")</f>
        <v>16320</v>
      </c>
      <c r="M56" s="28" cm="1">
        <f t="array" ref="M56">IFERROR(
    _xlfn.XLOOKUP(
        $A56,
        Table1[Location],
        INDEX(Table1[], , MATCH(M$1, Table1[#Headers], 0))
    ),
"")</f>
        <v>14210</v>
      </c>
      <c r="N56" s="28" cm="1">
        <f t="array" ref="N56">IFERROR(
    _xlfn.XLOOKUP(
        $A56,
        Table1[Location],
        INDEX(Table1[], , MATCH(N$1, Table1[#Headers], 0))
    ),
"")</f>
        <v>12778.976475297721</v>
      </c>
      <c r="O56" s="28">
        <f t="shared" si="1"/>
        <v>143607.97647529771</v>
      </c>
      <c r="Q56" s="28">
        <f t="shared" si="2"/>
        <v>0</v>
      </c>
      <c r="R56" s="28">
        <f t="shared" si="3"/>
        <v>0</v>
      </c>
      <c r="S56" s="28">
        <f t="shared" si="4"/>
        <v>50</v>
      </c>
      <c r="T56" s="28">
        <f t="shared" si="5"/>
        <v>75</v>
      </c>
      <c r="U56" s="28">
        <f t="shared" si="6"/>
        <v>250</v>
      </c>
      <c r="V56" s="28">
        <f t="shared" si="7"/>
        <v>162.5</v>
      </c>
      <c r="W56" s="28">
        <f t="shared" si="8"/>
        <v>181.20000000000002</v>
      </c>
      <c r="X56" s="28">
        <f t="shared" si="9"/>
        <v>201.69</v>
      </c>
      <c r="Y56" s="28">
        <f t="shared" si="10"/>
        <v>82.600000000000009</v>
      </c>
      <c r="Z56" s="28">
        <f t="shared" si="11"/>
        <v>163.20000000000002</v>
      </c>
      <c r="AA56" s="28">
        <f t="shared" si="12"/>
        <v>142.1</v>
      </c>
      <c r="AB56" s="28">
        <f t="shared" si="13"/>
        <v>127.78976475297721</v>
      </c>
      <c r="AC56" s="28">
        <f t="shared" si="14"/>
        <v>1436.0797647529771</v>
      </c>
    </row>
    <row r="57" spans="1:29" x14ac:dyDescent="0.3">
      <c r="A57" s="29" t="s">
        <v>134</v>
      </c>
      <c r="B57" s="32" t="str" cm="1">
        <f t="array" ref="B57">IFERROR(
    _xlfn.XLOOKUP(
        $A57,
        Table1[Location],
        INDEX(Table1[], , MATCH(B$1, Table1[#Headers], 0))
    ),
"")</f>
        <v>TBD</v>
      </c>
      <c r="C57" s="28" cm="1">
        <f t="array" ref="C57">IFERROR(
    _xlfn.XLOOKUP(
        $A57,
        Table1[Location],
        INDEX(Table1[], , MATCH(C$1, Table1[#Headers], 0))
    ),
"")</f>
        <v>0</v>
      </c>
      <c r="D57" s="28" cm="1">
        <f t="array" ref="D57">IFERROR(
    _xlfn.XLOOKUP(
        $A57,
        Table1[Location],
        INDEX(Table1[], , MATCH(D$1, Table1[#Headers], 0))
    ),
"")</f>
        <v>0</v>
      </c>
      <c r="E57" s="28" cm="1">
        <f t="array" ref="E57">IFERROR(
    _xlfn.XLOOKUP(
        $A57,
        Table1[Location],
        INDEX(Table1[], , MATCH(E$1, Table1[#Headers], 0))
    ),
"")</f>
        <v>5000</v>
      </c>
      <c r="F57" s="28" cm="1">
        <f t="array" ref="F57">IFERROR(
    _xlfn.XLOOKUP(
        $A57,
        Table1[Location],
        INDEX(Table1[], , MATCH(F$1, Table1[#Headers], 0))
    ),
"")</f>
        <v>7500</v>
      </c>
      <c r="G57" s="28" cm="1">
        <f t="array" ref="G57">IFERROR(
    _xlfn.XLOOKUP(
        $A57,
        Table1[Location],
        INDEX(Table1[], , MATCH(G$1, Table1[#Headers], 0))
    ),
"")</f>
        <v>25000</v>
      </c>
      <c r="H57" s="28" cm="1">
        <f t="array" ref="H57">IFERROR(
    _xlfn.XLOOKUP(
        $A57,
        Table1[Location],
        INDEX(Table1[], , MATCH(H$1, Table1[#Headers], 0))
    ),
"")</f>
        <v>25000</v>
      </c>
      <c r="I57" s="28" cm="1">
        <f t="array" ref="I57">IFERROR(
    _xlfn.XLOOKUP(
        $A57,
        Table1[Location],
        INDEX(Table1[], , MATCH(I$1, Table1[#Headers], 0))
    ),
"")</f>
        <v>21632</v>
      </c>
      <c r="J57" s="28" cm="1">
        <f t="array" ref="J57">IFERROR(
    _xlfn.XLOOKUP(
        $A57,
        Table1[Location],
        INDEX(Table1[], , MATCH(J$1, Table1[#Headers], 0))
    ),
"")</f>
        <v>14652</v>
      </c>
      <c r="K57" s="28" cm="1">
        <f t="array" ref="K57">IFERROR(
    _xlfn.XLOOKUP(
        $A57,
        Table1[Location],
        INDEX(Table1[], , MATCH(K$1, Table1[#Headers], 0))
    ),
"")</f>
        <v>4520</v>
      </c>
      <c r="L57" s="28" cm="1">
        <f t="array" ref="L57">IFERROR(
    _xlfn.XLOOKUP(
        $A57,
        Table1[Location],
        INDEX(Table1[], , MATCH(L$1, Table1[#Headers], 0))
    ),
"")</f>
        <v>15213</v>
      </c>
      <c r="M57" s="28" cm="1">
        <f t="array" ref="M57">IFERROR(
    _xlfn.XLOOKUP(
        $A57,
        Table1[Location],
        INDEX(Table1[], , MATCH(M$1, Table1[#Headers], 0))
    ),
"")</f>
        <v>16210</v>
      </c>
      <c r="N57" s="28" cm="1">
        <f t="array" ref="N57">IFERROR(
    _xlfn.XLOOKUP(
        $A57,
        Table1[Location],
        INDEX(Table1[], , MATCH(N$1, Table1[#Headers], 0))
    ),
"")</f>
        <v>10915.01173737994</v>
      </c>
      <c r="O57" s="28">
        <f t="shared" si="1"/>
        <v>145642.01173737994</v>
      </c>
      <c r="Q57" s="28">
        <f t="shared" si="2"/>
        <v>0</v>
      </c>
      <c r="R57" s="28">
        <f t="shared" si="3"/>
        <v>0</v>
      </c>
      <c r="S57" s="28">
        <f t="shared" si="4"/>
        <v>50</v>
      </c>
      <c r="T57" s="28">
        <f t="shared" si="5"/>
        <v>75</v>
      </c>
      <c r="U57" s="28">
        <f t="shared" si="6"/>
        <v>250</v>
      </c>
      <c r="V57" s="28">
        <f t="shared" si="7"/>
        <v>250</v>
      </c>
      <c r="W57" s="28">
        <f t="shared" si="8"/>
        <v>216.32</v>
      </c>
      <c r="X57" s="28">
        <f t="shared" si="9"/>
        <v>146.52000000000001</v>
      </c>
      <c r="Y57" s="28">
        <f t="shared" si="10"/>
        <v>45.2</v>
      </c>
      <c r="Z57" s="28">
        <f t="shared" si="11"/>
        <v>152.13</v>
      </c>
      <c r="AA57" s="28">
        <f t="shared" si="12"/>
        <v>162.1</v>
      </c>
      <c r="AB57" s="28">
        <f t="shared" si="13"/>
        <v>109.1501173737994</v>
      </c>
      <c r="AC57" s="28">
        <f t="shared" si="14"/>
        <v>1456.4201173737995</v>
      </c>
    </row>
    <row r="58" spans="1:29" x14ac:dyDescent="0.3">
      <c r="A58" s="29" t="s">
        <v>136</v>
      </c>
      <c r="B58" s="32" t="str" cm="1">
        <f t="array" ref="B58">IFERROR(
    _xlfn.XLOOKUP(
        $A58,
        Table1[Location],
        INDEX(Table1[], , MATCH(B$1, Table1[#Headers], 0))
    ),
"")</f>
        <v>TBD</v>
      </c>
      <c r="C58" s="28" cm="1">
        <f t="array" ref="C58">IFERROR(
    _xlfn.XLOOKUP(
        $A58,
        Table1[Location],
        INDEX(Table1[], , MATCH(C$1, Table1[#Headers], 0))
    ),
"")</f>
        <v>0</v>
      </c>
      <c r="D58" s="28" cm="1">
        <f t="array" ref="D58">IFERROR(
    _xlfn.XLOOKUP(
        $A58,
        Table1[Location],
        INDEX(Table1[], , MATCH(D$1, Table1[#Headers], 0))
    ),
"")</f>
        <v>0</v>
      </c>
      <c r="E58" s="28" cm="1">
        <f t="array" ref="E58">IFERROR(
    _xlfn.XLOOKUP(
        $A58,
        Table1[Location],
        INDEX(Table1[], , MATCH(E$1, Table1[#Headers], 0))
    ),
"")</f>
        <v>5000</v>
      </c>
      <c r="F58" s="28" cm="1">
        <f t="array" ref="F58">IFERROR(
    _xlfn.XLOOKUP(
        $A58,
        Table1[Location],
        INDEX(Table1[], , MATCH(F$1, Table1[#Headers], 0))
    ),
"")</f>
        <v>7500</v>
      </c>
      <c r="G58" s="28" cm="1">
        <f t="array" ref="G58">IFERROR(
    _xlfn.XLOOKUP(
        $A58,
        Table1[Location],
        INDEX(Table1[], , MATCH(G$1, Table1[#Headers], 0))
    ),
"")</f>
        <v>25000</v>
      </c>
      <c r="H58" s="28" cm="1">
        <f t="array" ref="H58">IFERROR(
    _xlfn.XLOOKUP(
        $A58,
        Table1[Location],
        INDEX(Table1[], , MATCH(H$1, Table1[#Headers], 0))
    ),
"")</f>
        <v>22304.889068519271</v>
      </c>
      <c r="I58" s="28" cm="1">
        <f t="array" ref="I58">IFERROR(
    _xlfn.XLOOKUP(
        $A58,
        Table1[Location],
        INDEX(Table1[], , MATCH(I$1, Table1[#Headers], 0))
    ),
"")</f>
        <v>64840.549789695287</v>
      </c>
      <c r="J58" s="28" cm="1">
        <f t="array" ref="J58">IFERROR(
    _xlfn.XLOOKUP(
        $A58,
        Table1[Location],
        INDEX(Table1[], , MATCH(J$1, Table1[#Headers], 0))
    ),
"")</f>
        <v>38296.912766221823</v>
      </c>
      <c r="K58" s="28" cm="1">
        <f t="array" ref="K58">IFERROR(
    _xlfn.XLOOKUP(
        $A58,
        Table1[Location],
        INDEX(Table1[], , MATCH(K$1, Table1[#Headers], 0))
    ),
"")</f>
        <v>39051.20290764072</v>
      </c>
      <c r="L58" s="28" cm="1">
        <f t="array" ref="L58">IFERROR(
    _xlfn.XLOOKUP(
        $A58,
        Table1[Location],
        INDEX(Table1[], , MATCH(L$1, Table1[#Headers], 0))
    ),
"")</f>
        <v>13210.149025071931</v>
      </c>
      <c r="M58" s="28" cm="1">
        <f t="array" ref="M58">IFERROR(
    _xlfn.XLOOKUP(
        $A58,
        Table1[Location],
        INDEX(Table1[], , MATCH(M$1, Table1[#Headers], 0))
    ),
"")</f>
        <v>12082.01273240302</v>
      </c>
      <c r="N58" s="28" cm="1">
        <f t="array" ref="N58">IFERROR(
    _xlfn.XLOOKUP(
        $A58,
        Table1[Location],
        INDEX(Table1[], , MATCH(N$1, Table1[#Headers], 0))
    ),
"")</f>
        <v>12541.35575890695</v>
      </c>
      <c r="O58" s="28">
        <f t="shared" si="1"/>
        <v>239827.07204845903</v>
      </c>
      <c r="Q58" s="28">
        <f t="shared" si="2"/>
        <v>0</v>
      </c>
      <c r="R58" s="28">
        <f t="shared" si="3"/>
        <v>0</v>
      </c>
      <c r="S58" s="28">
        <f t="shared" si="4"/>
        <v>50</v>
      </c>
      <c r="T58" s="28">
        <f t="shared" si="5"/>
        <v>75</v>
      </c>
      <c r="U58" s="28">
        <f t="shared" si="6"/>
        <v>250</v>
      </c>
      <c r="V58" s="28">
        <f t="shared" si="7"/>
        <v>223.0488906851927</v>
      </c>
      <c r="W58" s="28">
        <f t="shared" si="8"/>
        <v>648.40549789695285</v>
      </c>
      <c r="X58" s="28">
        <f t="shared" si="9"/>
        <v>382.96912766221823</v>
      </c>
      <c r="Y58" s="28">
        <f t="shared" si="10"/>
        <v>390.5120290764072</v>
      </c>
      <c r="Z58" s="28">
        <f t="shared" si="11"/>
        <v>132.10149025071931</v>
      </c>
      <c r="AA58" s="28">
        <f t="shared" si="12"/>
        <v>120.8201273240302</v>
      </c>
      <c r="AB58" s="28">
        <f t="shared" si="13"/>
        <v>125.4135575890695</v>
      </c>
      <c r="AC58" s="28">
        <f t="shared" si="14"/>
        <v>2398.2707204845901</v>
      </c>
    </row>
    <row r="59" spans="1:29" x14ac:dyDescent="0.3">
      <c r="A59" s="29" t="s">
        <v>137</v>
      </c>
      <c r="B59" s="32" t="str" cm="1">
        <f t="array" ref="B59">IFERROR(
    _xlfn.XLOOKUP(
        $A59,
        Table1[Location],
        INDEX(Table1[], , MATCH(B$1, Table1[#Headers], 0))
    ),
"")</f>
        <v>TBD</v>
      </c>
      <c r="C59" s="28" cm="1">
        <f t="array" ref="C59">IFERROR(
    _xlfn.XLOOKUP(
        $A59,
        Table1[Location],
        INDEX(Table1[], , MATCH(C$1, Table1[#Headers], 0))
    ),
"")</f>
        <v>0</v>
      </c>
      <c r="D59" s="28" cm="1">
        <f t="array" ref="D59">IFERROR(
    _xlfn.XLOOKUP(
        $A59,
        Table1[Location],
        INDEX(Table1[], , MATCH(D$1, Table1[#Headers], 0))
    ),
"")</f>
        <v>0</v>
      </c>
      <c r="E59" s="28" cm="1">
        <f t="array" ref="E59">IFERROR(
    _xlfn.XLOOKUP(
        $A59,
        Table1[Location],
        INDEX(Table1[], , MATCH(E$1, Table1[#Headers], 0))
    ),
"")</f>
        <v>5000</v>
      </c>
      <c r="F59" s="28" cm="1">
        <f t="array" ref="F59">IFERROR(
    _xlfn.XLOOKUP(
        $A59,
        Table1[Location],
        INDEX(Table1[], , MATCH(F$1, Table1[#Headers], 0))
    ),
"")</f>
        <v>7500</v>
      </c>
      <c r="G59" s="28" cm="1">
        <f t="array" ref="G59">IFERROR(
    _xlfn.XLOOKUP(
        $A59,
        Table1[Location],
        INDEX(Table1[], , MATCH(G$1, Table1[#Headers], 0))
    ),
"")</f>
        <v>25000</v>
      </c>
      <c r="H59" s="28" cm="1">
        <f t="array" ref="H59">IFERROR(
    _xlfn.XLOOKUP(
        $A59,
        Table1[Location],
        INDEX(Table1[], , MATCH(H$1, Table1[#Headers], 0))
    ),
"")</f>
        <v>15625</v>
      </c>
      <c r="I59" s="28" cm="1">
        <f t="array" ref="I59">IFERROR(
    _xlfn.XLOOKUP(
        $A59,
        Table1[Location],
        INDEX(Table1[], , MATCH(I$1, Table1[#Headers], 0))
    ),
"")</f>
        <v>14632</v>
      </c>
      <c r="J59" s="28" cm="1">
        <f t="array" ref="J59">IFERROR(
    _xlfn.XLOOKUP(
        $A59,
        Table1[Location],
        INDEX(Table1[], , MATCH(J$1, Table1[#Headers], 0))
    ),
"")</f>
        <v>10965</v>
      </c>
      <c r="K59" s="28" cm="1">
        <f t="array" ref="K59">IFERROR(
    _xlfn.XLOOKUP(
        $A59,
        Table1[Location],
        INDEX(Table1[], , MATCH(K$1, Table1[#Headers], 0))
    ),
"")</f>
        <v>12654</v>
      </c>
      <c r="L59" s="28" cm="1">
        <f t="array" ref="L59">IFERROR(
    _xlfn.XLOOKUP(
        $A59,
        Table1[Location],
        INDEX(Table1[], , MATCH(L$1, Table1[#Headers], 0))
    ),
"")</f>
        <v>12396</v>
      </c>
      <c r="M59" s="28" cm="1">
        <f t="array" ref="M59">IFERROR(
    _xlfn.XLOOKUP(
        $A59,
        Table1[Location],
        INDEX(Table1[], , MATCH(M$1, Table1[#Headers], 0))
    ),
"")</f>
        <v>8024</v>
      </c>
      <c r="N59" s="28" cm="1">
        <f t="array" ref="N59">IFERROR(
    _xlfn.XLOOKUP(
        $A59,
        Table1[Location],
        INDEX(Table1[], , MATCH(N$1, Table1[#Headers], 0))
    ),
"")</f>
        <v>10548.50630461465</v>
      </c>
      <c r="O59" s="28">
        <f t="shared" si="1"/>
        <v>122344.50630461465</v>
      </c>
      <c r="Q59" s="28">
        <f t="shared" si="2"/>
        <v>0</v>
      </c>
      <c r="R59" s="28">
        <f t="shared" si="3"/>
        <v>0</v>
      </c>
      <c r="S59" s="28">
        <f t="shared" si="4"/>
        <v>50</v>
      </c>
      <c r="T59" s="28">
        <f t="shared" si="5"/>
        <v>75</v>
      </c>
      <c r="U59" s="28">
        <f t="shared" si="6"/>
        <v>250</v>
      </c>
      <c r="V59" s="28">
        <f t="shared" si="7"/>
        <v>156.25</v>
      </c>
      <c r="W59" s="28">
        <f t="shared" si="8"/>
        <v>146.32</v>
      </c>
      <c r="X59" s="28">
        <f t="shared" si="9"/>
        <v>109.65</v>
      </c>
      <c r="Y59" s="28">
        <f t="shared" si="10"/>
        <v>126.54</v>
      </c>
      <c r="Z59" s="28">
        <f t="shared" si="11"/>
        <v>123.96000000000001</v>
      </c>
      <c r="AA59" s="28">
        <f t="shared" si="12"/>
        <v>80.239999999999995</v>
      </c>
      <c r="AB59" s="28">
        <f t="shared" si="13"/>
        <v>105.48506304614649</v>
      </c>
      <c r="AC59" s="28">
        <f t="shared" si="14"/>
        <v>1223.4450630461463</v>
      </c>
    </row>
    <row r="60" spans="1:29" x14ac:dyDescent="0.3">
      <c r="A60" s="29" t="s">
        <v>138</v>
      </c>
      <c r="B60" s="32" t="str" cm="1">
        <f t="array" ref="B60">IFERROR(
    _xlfn.XLOOKUP(
        $A60,
        Table1[Location],
        INDEX(Table1[], , MATCH(B$1, Table1[#Headers], 0))
    ),
"")</f>
        <v>TBD</v>
      </c>
      <c r="C60" s="28" cm="1">
        <f t="array" ref="C60">IFERROR(
    _xlfn.XLOOKUP(
        $A60,
        Table1[Location],
        INDEX(Table1[], , MATCH(C$1, Table1[#Headers], 0))
    ),
"")</f>
        <v>0</v>
      </c>
      <c r="D60" s="28" cm="1">
        <f t="array" ref="D60">IFERROR(
    _xlfn.XLOOKUP(
        $A60,
        Table1[Location],
        INDEX(Table1[], , MATCH(D$1, Table1[#Headers], 0))
    ),
"")</f>
        <v>0</v>
      </c>
      <c r="E60" s="28" cm="1">
        <f t="array" ref="E60">IFERROR(
    _xlfn.XLOOKUP(
        $A60,
        Table1[Location],
        INDEX(Table1[], , MATCH(E$1, Table1[#Headers], 0))
    ),
"")</f>
        <v>5000</v>
      </c>
      <c r="F60" s="28" cm="1">
        <f t="array" ref="F60">IFERROR(
    _xlfn.XLOOKUP(
        $A60,
        Table1[Location],
        INDEX(Table1[], , MATCH(F$1, Table1[#Headers], 0))
    ),
"")</f>
        <v>7500</v>
      </c>
      <c r="G60" s="28" cm="1">
        <f t="array" ref="G60">IFERROR(
    _xlfn.XLOOKUP(
        $A60,
        Table1[Location],
        INDEX(Table1[], , MATCH(G$1, Table1[#Headers], 0))
    ),
"")</f>
        <v>25000</v>
      </c>
      <c r="H60" s="28" cm="1">
        <f t="array" ref="H60">IFERROR(
    _xlfn.XLOOKUP(
        $A60,
        Table1[Location],
        INDEX(Table1[], , MATCH(H$1, Table1[#Headers], 0))
    ),
"")</f>
        <v>19254</v>
      </c>
      <c r="I60" s="28" cm="1">
        <f t="array" ref="I60">IFERROR(
    _xlfn.XLOOKUP(
        $A60,
        Table1[Location],
        INDEX(Table1[], , MATCH(I$1, Table1[#Headers], 0))
    ),
"")</f>
        <v>0</v>
      </c>
      <c r="J60" s="28" cm="1">
        <f t="array" ref="J60">IFERROR(
    _xlfn.XLOOKUP(
        $A60,
        Table1[Location],
        INDEX(Table1[], , MATCH(J$1, Table1[#Headers], 0))
    ),
"")</f>
        <v>10254</v>
      </c>
      <c r="K60" s="28" cm="1">
        <f t="array" ref="K60">IFERROR(
    _xlfn.XLOOKUP(
        $A60,
        Table1[Location],
        INDEX(Table1[], , MATCH(K$1, Table1[#Headers], 0))
    ),
"")</f>
        <v>8025</v>
      </c>
      <c r="L60" s="28" cm="1">
        <f t="array" ref="L60">IFERROR(
    _xlfn.XLOOKUP(
        $A60,
        Table1[Location],
        INDEX(Table1[], , MATCH(L$1, Table1[#Headers], 0))
    ),
"")</f>
        <v>15032</v>
      </c>
      <c r="M60" s="28" cm="1">
        <f t="array" ref="M60">IFERROR(
    _xlfn.XLOOKUP(
        $A60,
        Table1[Location],
        INDEX(Table1[], , MATCH(M$1, Table1[#Headers], 0))
    ),
"")</f>
        <v>21160.664649331291</v>
      </c>
      <c r="N60" s="28" cm="1">
        <f t="array" ref="N60">IFERROR(
    _xlfn.XLOOKUP(
        $A60,
        Table1[Location],
        INDEX(Table1[], , MATCH(N$1, Table1[#Headers], 0))
    ),
"")</f>
        <v>9772.7534300547431</v>
      </c>
      <c r="O60" s="28">
        <f t="shared" si="1"/>
        <v>120998.41807938603</v>
      </c>
      <c r="Q60" s="28">
        <f t="shared" si="2"/>
        <v>0</v>
      </c>
      <c r="R60" s="28">
        <f t="shared" si="3"/>
        <v>0</v>
      </c>
      <c r="S60" s="28">
        <f t="shared" si="4"/>
        <v>50</v>
      </c>
      <c r="T60" s="28">
        <f t="shared" si="5"/>
        <v>75</v>
      </c>
      <c r="U60" s="28">
        <f t="shared" si="6"/>
        <v>250</v>
      </c>
      <c r="V60" s="28">
        <f t="shared" si="7"/>
        <v>192.54</v>
      </c>
      <c r="W60" s="28">
        <f t="shared" si="8"/>
        <v>0</v>
      </c>
      <c r="X60" s="28">
        <f t="shared" si="9"/>
        <v>102.54</v>
      </c>
      <c r="Y60" s="28">
        <f t="shared" si="10"/>
        <v>80.25</v>
      </c>
      <c r="Z60" s="28">
        <f t="shared" si="11"/>
        <v>150.32</v>
      </c>
      <c r="AA60" s="28">
        <f t="shared" si="12"/>
        <v>211.60664649331292</v>
      </c>
      <c r="AB60" s="28">
        <f t="shared" si="13"/>
        <v>97.727534300547433</v>
      </c>
      <c r="AC60" s="28">
        <f t="shared" si="14"/>
        <v>1209.9841807938601</v>
      </c>
    </row>
    <row r="61" spans="1:29" x14ac:dyDescent="0.3">
      <c r="A61" s="29" t="s">
        <v>140</v>
      </c>
      <c r="B61" s="32" t="str" cm="1">
        <f t="array" ref="B61">IFERROR(
    _xlfn.XLOOKUP(
        $A61,
        Table1[Location],
        INDEX(Table1[], , MATCH(B$1, Table1[#Headers], 0))
    ),
"")</f>
        <v>TBD</v>
      </c>
      <c r="C61" s="28" cm="1">
        <f t="array" ref="C61">IFERROR(
    _xlfn.XLOOKUP(
        $A61,
        Table1[Location],
        INDEX(Table1[], , MATCH(C$1, Table1[#Headers], 0))
    ),
"")</f>
        <v>0</v>
      </c>
      <c r="D61" s="28" cm="1">
        <f t="array" ref="D61">IFERROR(
    _xlfn.XLOOKUP(
        $A61,
        Table1[Location],
        INDEX(Table1[], , MATCH(D$1, Table1[#Headers], 0))
    ),
"")</f>
        <v>0</v>
      </c>
      <c r="E61" s="28" cm="1">
        <f t="array" ref="E61">IFERROR(
    _xlfn.XLOOKUP(
        $A61,
        Table1[Location],
        INDEX(Table1[], , MATCH(E$1, Table1[#Headers], 0))
    ),
"")</f>
        <v>5000</v>
      </c>
      <c r="F61" s="28" cm="1">
        <f t="array" ref="F61">IFERROR(
    _xlfn.XLOOKUP(
        $A61,
        Table1[Location],
        INDEX(Table1[], , MATCH(F$1, Table1[#Headers], 0))
    ),
"")</f>
        <v>7500</v>
      </c>
      <c r="G61" s="28" cm="1">
        <f t="array" ref="G61">IFERROR(
    _xlfn.XLOOKUP(
        $A61,
        Table1[Location],
        INDEX(Table1[], , MATCH(G$1, Table1[#Headers], 0))
    ),
"")</f>
        <v>25000</v>
      </c>
      <c r="H61" s="28" cm="1">
        <f t="array" ref="H61">IFERROR(
    _xlfn.XLOOKUP(
        $A61,
        Table1[Location],
        INDEX(Table1[], , MATCH(H$1, Table1[#Headers], 0))
    ),
"")</f>
        <v>9005</v>
      </c>
      <c r="I61" s="28" cm="1">
        <f t="array" ref="I61">IFERROR(
    _xlfn.XLOOKUP(
        $A61,
        Table1[Location],
        INDEX(Table1[], , MATCH(I$1, Table1[#Headers], 0))
    ),
"")</f>
        <v>15321</v>
      </c>
      <c r="J61" s="28" cm="1">
        <f t="array" ref="J61">IFERROR(
    _xlfn.XLOOKUP(
        $A61,
        Table1[Location],
        INDEX(Table1[], , MATCH(J$1, Table1[#Headers], 0))
    ),
"")</f>
        <v>10326</v>
      </c>
      <c r="K61" s="28" cm="1">
        <f t="array" ref="K61">IFERROR(
    _xlfn.XLOOKUP(
        $A61,
        Table1[Location],
        INDEX(Table1[], , MATCH(K$1, Table1[#Headers], 0))
    ),
"")</f>
        <v>15241</v>
      </c>
      <c r="L61" s="28" cm="1">
        <f t="array" ref="L61">IFERROR(
    _xlfn.XLOOKUP(
        $A61,
        Table1[Location],
        INDEX(Table1[], , MATCH(L$1, Table1[#Headers], 0))
    ),
"")</f>
        <v>22791.091194128279</v>
      </c>
      <c r="M61" s="28" cm="1">
        <f t="array" ref="M61">IFERROR(
    _xlfn.XLOOKUP(
        $A61,
        Table1[Location],
        INDEX(Table1[], , MATCH(M$1, Table1[#Headers], 0))
    ),
"")</f>
        <v>13737.294388843289</v>
      </c>
      <c r="N61" s="28" cm="1">
        <f t="array" ref="N61">IFERROR(
    _xlfn.XLOOKUP(
        $A61,
        Table1[Location],
        INDEX(Table1[], , MATCH(N$1, Table1[#Headers], 0))
    ),
"")</f>
        <v>12155.090870918921</v>
      </c>
      <c r="O61" s="28">
        <f t="shared" si="1"/>
        <v>136076.4764538905</v>
      </c>
      <c r="Q61" s="28">
        <f t="shared" si="2"/>
        <v>0</v>
      </c>
      <c r="R61" s="28">
        <f t="shared" si="3"/>
        <v>0</v>
      </c>
      <c r="S61" s="28">
        <f t="shared" si="4"/>
        <v>50</v>
      </c>
      <c r="T61" s="28">
        <f t="shared" si="5"/>
        <v>75</v>
      </c>
      <c r="U61" s="28">
        <f t="shared" si="6"/>
        <v>250</v>
      </c>
      <c r="V61" s="28">
        <f t="shared" si="7"/>
        <v>90.05</v>
      </c>
      <c r="W61" s="28">
        <f t="shared" si="8"/>
        <v>153.21</v>
      </c>
      <c r="X61" s="28">
        <f t="shared" si="9"/>
        <v>103.26</v>
      </c>
      <c r="Y61" s="28">
        <f t="shared" si="10"/>
        <v>152.41</v>
      </c>
      <c r="Z61" s="28">
        <f t="shared" si="11"/>
        <v>227.91091194128279</v>
      </c>
      <c r="AA61" s="28">
        <f t="shared" si="12"/>
        <v>137.3729438884329</v>
      </c>
      <c r="AB61" s="28">
        <f t="shared" si="13"/>
        <v>121.55090870918922</v>
      </c>
      <c r="AC61" s="28">
        <f t="shared" si="14"/>
        <v>1360.7647645389047</v>
      </c>
    </row>
    <row r="62" spans="1:29" x14ac:dyDescent="0.3">
      <c r="A62" s="29" t="s">
        <v>141</v>
      </c>
      <c r="B62" s="32" t="str" cm="1">
        <f t="array" ref="B62">IFERROR(
    _xlfn.XLOOKUP(
        $A62,
        Table1[Location],
        INDEX(Table1[], , MATCH(B$1, Table1[#Headers], 0))
    ),
"")</f>
        <v>TBD</v>
      </c>
      <c r="C62" s="28" cm="1">
        <f t="array" ref="C62">IFERROR(
    _xlfn.XLOOKUP(
        $A62,
        Table1[Location],
        INDEX(Table1[], , MATCH(C$1, Table1[#Headers], 0))
    ),
"")</f>
        <v>0</v>
      </c>
      <c r="D62" s="28" cm="1">
        <f t="array" ref="D62">IFERROR(
    _xlfn.XLOOKUP(
        $A62,
        Table1[Location],
        INDEX(Table1[], , MATCH(D$1, Table1[#Headers], 0))
    ),
"")</f>
        <v>0</v>
      </c>
      <c r="E62" s="28" cm="1">
        <f t="array" ref="E62">IFERROR(
    _xlfn.XLOOKUP(
        $A62,
        Table1[Location],
        INDEX(Table1[], , MATCH(E$1, Table1[#Headers], 0))
    ),
"")</f>
        <v>5000</v>
      </c>
      <c r="F62" s="28" cm="1">
        <f t="array" ref="F62">IFERROR(
    _xlfn.XLOOKUP(
        $A62,
        Table1[Location],
        INDEX(Table1[], , MATCH(F$1, Table1[#Headers], 0))
    ),
"")</f>
        <v>7500</v>
      </c>
      <c r="G62" s="28" cm="1">
        <f t="array" ref="G62">IFERROR(
    _xlfn.XLOOKUP(
        $A62,
        Table1[Location],
        INDEX(Table1[], , MATCH(G$1, Table1[#Headers], 0))
    ),
"")</f>
        <v>25000</v>
      </c>
      <c r="H62" s="28" cm="1">
        <f t="array" ref="H62">IFERROR(
    _xlfn.XLOOKUP(
        $A62,
        Table1[Location],
        INDEX(Table1[], , MATCH(H$1, Table1[#Headers], 0))
    ),
"")</f>
        <v>22386.459283137079</v>
      </c>
      <c r="I62" s="28" cm="1">
        <f t="array" ref="I62">IFERROR(
    _xlfn.XLOOKUP(
        $A62,
        Table1[Location],
        INDEX(Table1[], , MATCH(I$1, Table1[#Headers], 0))
    ),
"")</f>
        <v>15426</v>
      </c>
      <c r="J62" s="28" cm="1">
        <f t="array" ref="J62">IFERROR(
    _xlfn.XLOOKUP(
        $A62,
        Table1[Location],
        INDEX(Table1[], , MATCH(J$1, Table1[#Headers], 0))
    ),
"")</f>
        <v>20354</v>
      </c>
      <c r="K62" s="28" cm="1">
        <f t="array" ref="K62">IFERROR(
    _xlfn.XLOOKUP(
        $A62,
        Table1[Location],
        INDEX(Table1[], , MATCH(K$1, Table1[#Headers], 0))
    ),
"")</f>
        <v>21065</v>
      </c>
      <c r="L62" s="28" cm="1">
        <f t="array" ref="L62">IFERROR(
    _xlfn.XLOOKUP(
        $A62,
        Table1[Location],
        INDEX(Table1[], , MATCH(L$1, Table1[#Headers], 0))
    ),
"")</f>
        <v>18258</v>
      </c>
      <c r="M62" s="28" cm="1">
        <f t="array" ref="M62">IFERROR(
    _xlfn.XLOOKUP(
        $A62,
        Table1[Location],
        INDEX(Table1[], , MATCH(M$1, Table1[#Headers], 0))
    ),
"")</f>
        <v>15252</v>
      </c>
      <c r="N62" s="28" cm="1">
        <f t="array" ref="N62">IFERROR(
    _xlfn.XLOOKUP(
        $A62,
        Table1[Location],
        INDEX(Table1[], , MATCH(N$1, Table1[#Headers], 0))
    ),
"")</f>
        <v>9021</v>
      </c>
      <c r="O62" s="28">
        <f t="shared" si="1"/>
        <v>159262.45928313708</v>
      </c>
      <c r="Q62" s="28">
        <f t="shared" si="2"/>
        <v>0</v>
      </c>
      <c r="R62" s="28">
        <f t="shared" si="3"/>
        <v>0</v>
      </c>
      <c r="S62" s="28">
        <f t="shared" si="4"/>
        <v>50</v>
      </c>
      <c r="T62" s="28">
        <f t="shared" si="5"/>
        <v>75</v>
      </c>
      <c r="U62" s="28">
        <f t="shared" si="6"/>
        <v>250</v>
      </c>
      <c r="V62" s="28">
        <f t="shared" si="7"/>
        <v>223.8645928313708</v>
      </c>
      <c r="W62" s="28">
        <f t="shared" si="8"/>
        <v>154.26</v>
      </c>
      <c r="X62" s="28">
        <f t="shared" si="9"/>
        <v>203.54</v>
      </c>
      <c r="Y62" s="28">
        <f t="shared" si="10"/>
        <v>210.65</v>
      </c>
      <c r="Z62" s="28">
        <f t="shared" si="11"/>
        <v>182.58</v>
      </c>
      <c r="AA62" s="28">
        <f t="shared" si="12"/>
        <v>152.52000000000001</v>
      </c>
      <c r="AB62" s="28">
        <f t="shared" si="13"/>
        <v>90.210000000000008</v>
      </c>
      <c r="AC62" s="28">
        <f t="shared" si="14"/>
        <v>1592.6245928313708</v>
      </c>
    </row>
    <row r="63" spans="1:29" x14ac:dyDescent="0.3">
      <c r="A63" s="29" t="s">
        <v>143</v>
      </c>
      <c r="B63" s="32" t="str" cm="1">
        <f t="array" ref="B63">IFERROR(
    _xlfn.XLOOKUP(
        $A63,
        Table1[Location],
        INDEX(Table1[], , MATCH(B$1, Table1[#Headers], 0))
    ),
"")</f>
        <v>TBD</v>
      </c>
      <c r="C63" s="28" cm="1">
        <f t="array" ref="C63">IFERROR(
    _xlfn.XLOOKUP(
        $A63,
        Table1[Location],
        INDEX(Table1[], , MATCH(C$1, Table1[#Headers], 0))
    ),
"")</f>
        <v>0</v>
      </c>
      <c r="D63" s="28" cm="1">
        <f t="array" ref="D63">IFERROR(
    _xlfn.XLOOKUP(
        $A63,
        Table1[Location],
        INDEX(Table1[], , MATCH(D$1, Table1[#Headers], 0))
    ),
"")</f>
        <v>0</v>
      </c>
      <c r="E63" s="28" cm="1">
        <f t="array" ref="E63">IFERROR(
    _xlfn.XLOOKUP(
        $A63,
        Table1[Location],
        INDEX(Table1[], , MATCH(E$1, Table1[#Headers], 0))
    ),
"")</f>
        <v>5000</v>
      </c>
      <c r="F63" s="28" cm="1">
        <f t="array" ref="F63">IFERROR(
    _xlfn.XLOOKUP(
        $A63,
        Table1[Location],
        INDEX(Table1[], , MATCH(F$1, Table1[#Headers], 0))
    ),
"")</f>
        <v>7500</v>
      </c>
      <c r="G63" s="28" cm="1">
        <f t="array" ref="G63">IFERROR(
    _xlfn.XLOOKUP(
        $A63,
        Table1[Location],
        INDEX(Table1[], , MATCH(G$1, Table1[#Headers], 0))
    ),
"")</f>
        <v>25000</v>
      </c>
      <c r="H63" s="28" cm="1">
        <f t="array" ref="H63">IFERROR(
    _xlfn.XLOOKUP(
        $A63,
        Table1[Location],
        INDEX(Table1[], , MATCH(H$1, Table1[#Headers], 0))
    ),
"")</f>
        <v>14235</v>
      </c>
      <c r="I63" s="28" cm="1">
        <f t="array" ref="I63">IFERROR(
    _xlfn.XLOOKUP(
        $A63,
        Table1[Location],
        INDEX(Table1[], , MATCH(I$1, Table1[#Headers], 0))
    ),
"")</f>
        <v>0</v>
      </c>
      <c r="J63" s="28" cm="1">
        <f t="array" ref="J63">IFERROR(
    _xlfn.XLOOKUP(
        $A63,
        Table1[Location],
        INDEX(Table1[], , MATCH(J$1, Table1[#Headers], 0))
    ),
"")</f>
        <v>0</v>
      </c>
      <c r="K63" s="28" cm="1">
        <f t="array" ref="K63">IFERROR(
    _xlfn.XLOOKUP(
        $A63,
        Table1[Location],
        INDEX(Table1[], , MATCH(K$1, Table1[#Headers], 0))
    ),
"")</f>
        <v>28656.809072552449</v>
      </c>
      <c r="L63" s="28" cm="1">
        <f t="array" ref="L63">IFERROR(
    _xlfn.XLOOKUP(
        $A63,
        Table1[Location],
        INDEX(Table1[], , MATCH(L$1, Table1[#Headers], 0))
    ),
"")</f>
        <v>21355.098773720449</v>
      </c>
      <c r="M63" s="28" cm="1">
        <f t="array" ref="M63">IFERROR(
    _xlfn.XLOOKUP(
        $A63,
        Table1[Location],
        INDEX(Table1[], , MATCH(M$1, Table1[#Headers], 0))
    ),
"")</f>
        <v>13215.75436274296</v>
      </c>
      <c r="N63" s="28" cm="1">
        <f t="array" ref="N63">IFERROR(
    _xlfn.XLOOKUP(
        $A63,
        Table1[Location],
        INDEX(Table1[], , MATCH(N$1, Table1[#Headers], 0))
    ),
"")</f>
        <v>15192.79588281796</v>
      </c>
      <c r="O63" s="28">
        <f t="shared" si="1"/>
        <v>130155.4580918338</v>
      </c>
      <c r="Q63" s="28">
        <f t="shared" si="2"/>
        <v>0</v>
      </c>
      <c r="R63" s="28">
        <f t="shared" si="3"/>
        <v>0</v>
      </c>
      <c r="S63" s="28">
        <f t="shared" si="4"/>
        <v>50</v>
      </c>
      <c r="T63" s="28">
        <f t="shared" si="5"/>
        <v>75</v>
      </c>
      <c r="U63" s="28">
        <f t="shared" si="6"/>
        <v>250</v>
      </c>
      <c r="V63" s="28">
        <f t="shared" si="7"/>
        <v>142.35</v>
      </c>
      <c r="W63" s="28">
        <f t="shared" si="8"/>
        <v>0</v>
      </c>
      <c r="X63" s="28">
        <f t="shared" si="9"/>
        <v>0</v>
      </c>
      <c r="Y63" s="28">
        <f t="shared" si="10"/>
        <v>286.56809072552448</v>
      </c>
      <c r="Z63" s="28">
        <f t="shared" si="11"/>
        <v>213.55098773720448</v>
      </c>
      <c r="AA63" s="28">
        <f t="shared" si="12"/>
        <v>132.15754362742962</v>
      </c>
      <c r="AB63" s="28">
        <f t="shared" si="13"/>
        <v>151.92795882817961</v>
      </c>
      <c r="AC63" s="28">
        <f t="shared" si="14"/>
        <v>1301.5545809183382</v>
      </c>
    </row>
    <row r="64" spans="1:29" x14ac:dyDescent="0.3">
      <c r="A64" s="29" t="s">
        <v>144</v>
      </c>
      <c r="B64" s="32" t="str" cm="1">
        <f t="array" ref="B64">IFERROR(
    _xlfn.XLOOKUP(
        $A64,
        Table1[Location],
        INDEX(Table1[], , MATCH(B$1, Table1[#Headers], 0))
    ),
"")</f>
        <v>TBD</v>
      </c>
      <c r="C64" s="28" cm="1">
        <f t="array" ref="C64">IFERROR(
    _xlfn.XLOOKUP(
        $A64,
        Table1[Location],
        INDEX(Table1[], , MATCH(C$1, Table1[#Headers], 0))
    ),
"")</f>
        <v>0</v>
      </c>
      <c r="D64" s="28" cm="1">
        <f t="array" ref="D64">IFERROR(
    _xlfn.XLOOKUP(
        $A64,
        Table1[Location],
        INDEX(Table1[], , MATCH(D$1, Table1[#Headers], 0))
    ),
"")</f>
        <v>0</v>
      </c>
      <c r="E64" s="28" cm="1">
        <f t="array" ref="E64">IFERROR(
    _xlfn.XLOOKUP(
        $A64,
        Table1[Location],
        INDEX(Table1[], , MATCH(E$1, Table1[#Headers], 0))
    ),
"")</f>
        <v>5000</v>
      </c>
      <c r="F64" s="28" cm="1">
        <f t="array" ref="F64">IFERROR(
    _xlfn.XLOOKUP(
        $A64,
        Table1[Location],
        INDEX(Table1[], , MATCH(F$1, Table1[#Headers], 0))
    ),
"")</f>
        <v>7500</v>
      </c>
      <c r="G64" s="28" cm="1">
        <f t="array" ref="G64">IFERROR(
    _xlfn.XLOOKUP(
        $A64,
        Table1[Location],
        INDEX(Table1[], , MATCH(G$1, Table1[#Headers], 0))
    ),
"")</f>
        <v>25000</v>
      </c>
      <c r="H64" s="28" cm="1">
        <f t="array" ref="H64">IFERROR(
    _xlfn.XLOOKUP(
        $A64,
        Table1[Location],
        INDEX(Table1[], , MATCH(H$1, Table1[#Headers], 0))
    ),
"")</f>
        <v>13214</v>
      </c>
      <c r="I64" s="28" cm="1">
        <f t="array" ref="I64">IFERROR(
    _xlfn.XLOOKUP(
        $A64,
        Table1[Location],
        INDEX(Table1[], , MATCH(I$1, Table1[#Headers], 0))
    ),
"")</f>
        <v>0</v>
      </c>
      <c r="J64" s="28" cm="1">
        <f t="array" ref="J64">IFERROR(
    _xlfn.XLOOKUP(
        $A64,
        Table1[Location],
        INDEX(Table1[], , MATCH(J$1, Table1[#Headers], 0))
    ),
"")</f>
        <v>0</v>
      </c>
      <c r="K64" s="28" cm="1">
        <f t="array" ref="K64">IFERROR(
    _xlfn.XLOOKUP(
        $A64,
        Table1[Location],
        INDEX(Table1[], , MATCH(K$1, Table1[#Headers], 0))
    ),
"")</f>
        <v>38683.832224328369</v>
      </c>
      <c r="L64" s="28" cm="1">
        <f t="array" ref="L64">IFERROR(
    _xlfn.XLOOKUP(
        $A64,
        Table1[Location],
        INDEX(Table1[], , MATCH(L$1, Table1[#Headers], 0))
    ),
"")</f>
        <v>19872.111326702539</v>
      </c>
      <c r="M64" s="28" cm="1">
        <f t="array" ref="M64">IFERROR(
    _xlfn.XLOOKUP(
        $A64,
        Table1[Location],
        INDEX(Table1[], , MATCH(M$1, Table1[#Headers], 0))
    ),
"")</f>
        <v>13540.706982912039</v>
      </c>
      <c r="N64" s="28" cm="1">
        <f t="array" ref="N64">IFERROR(
    _xlfn.XLOOKUP(
        $A64,
        Table1[Location],
        INDEX(Table1[], , MATCH(N$1, Table1[#Headers], 0))
    ),
"")</f>
        <v>9180.9086671910045</v>
      </c>
      <c r="O64" s="28">
        <f t="shared" si="1"/>
        <v>131991.55920113396</v>
      </c>
      <c r="Q64" s="28">
        <f t="shared" si="2"/>
        <v>0</v>
      </c>
      <c r="R64" s="28">
        <f t="shared" si="3"/>
        <v>0</v>
      </c>
      <c r="S64" s="28">
        <f t="shared" si="4"/>
        <v>50</v>
      </c>
      <c r="T64" s="28">
        <f t="shared" si="5"/>
        <v>75</v>
      </c>
      <c r="U64" s="28">
        <f t="shared" si="6"/>
        <v>250</v>
      </c>
      <c r="V64" s="28">
        <f t="shared" si="7"/>
        <v>132.14000000000001</v>
      </c>
      <c r="W64" s="28">
        <f t="shared" si="8"/>
        <v>0</v>
      </c>
      <c r="X64" s="28">
        <f t="shared" si="9"/>
        <v>0</v>
      </c>
      <c r="Y64" s="28">
        <f t="shared" si="10"/>
        <v>386.8383222432837</v>
      </c>
      <c r="Z64" s="28">
        <f t="shared" si="11"/>
        <v>198.7211132670254</v>
      </c>
      <c r="AA64" s="28">
        <f t="shared" si="12"/>
        <v>135.40706982912039</v>
      </c>
      <c r="AB64" s="28">
        <f t="shared" si="13"/>
        <v>91.809086671910052</v>
      </c>
      <c r="AC64" s="28">
        <f t="shared" si="14"/>
        <v>1319.9155920113396</v>
      </c>
    </row>
    <row r="65" spans="1:29" x14ac:dyDescent="0.3">
      <c r="A65" s="29" t="s">
        <v>145</v>
      </c>
      <c r="B65" s="32" t="str" cm="1">
        <f t="array" ref="B65">IFERROR(
    _xlfn.XLOOKUP(
        $A65,
        Table1[Location],
        INDEX(Table1[], , MATCH(B$1, Table1[#Headers], 0))
    ),
"")</f>
        <v>TBD</v>
      </c>
      <c r="C65" s="28" cm="1">
        <f t="array" ref="C65">IFERROR(
    _xlfn.XLOOKUP(
        $A65,
        Table1[Location],
        INDEX(Table1[], , MATCH(C$1, Table1[#Headers], 0))
    ),
"")</f>
        <v>0</v>
      </c>
      <c r="D65" s="28" cm="1">
        <f t="array" ref="D65">IFERROR(
    _xlfn.XLOOKUP(
        $A65,
        Table1[Location],
        INDEX(Table1[], , MATCH(D$1, Table1[#Headers], 0))
    ),
"")</f>
        <v>0</v>
      </c>
      <c r="E65" s="28" cm="1">
        <f t="array" ref="E65">IFERROR(
    _xlfn.XLOOKUP(
        $A65,
        Table1[Location],
        INDEX(Table1[], , MATCH(E$1, Table1[#Headers], 0))
    ),
"")</f>
        <v>5000</v>
      </c>
      <c r="F65" s="28" cm="1">
        <f t="array" ref="F65">IFERROR(
    _xlfn.XLOOKUP(
        $A65,
        Table1[Location],
        INDEX(Table1[], , MATCH(F$1, Table1[#Headers], 0))
    ),
"")</f>
        <v>7500</v>
      </c>
      <c r="G65" s="28" cm="1">
        <f t="array" ref="G65">IFERROR(
    _xlfn.XLOOKUP(
        $A65,
        Table1[Location],
        INDEX(Table1[], , MATCH(G$1, Table1[#Headers], 0))
    ),
"")</f>
        <v>25000</v>
      </c>
      <c r="H65" s="28" cm="1">
        <f t="array" ref="H65">IFERROR(
    _xlfn.XLOOKUP(
        $A65,
        Table1[Location],
        INDEX(Table1[], , MATCH(H$1, Table1[#Headers], 0))
    ),
"")</f>
        <v>16874</v>
      </c>
      <c r="I65" s="28" cm="1">
        <f t="array" ref="I65">IFERROR(
    _xlfn.XLOOKUP(
        $A65,
        Table1[Location],
        INDEX(Table1[], , MATCH(I$1, Table1[#Headers], 0))
    ),
"")</f>
        <v>33102.6362869246</v>
      </c>
      <c r="J65" s="28" cm="1">
        <f t="array" ref="J65">IFERROR(
    _xlfn.XLOOKUP(
        $A65,
        Table1[Location],
        INDEX(Table1[], , MATCH(J$1, Table1[#Headers], 0))
    ),
"")</f>
        <v>26412.231712934641</v>
      </c>
      <c r="K65" s="28" cm="1">
        <f t="array" ref="K65">IFERROR(
    _xlfn.XLOOKUP(
        $A65,
        Table1[Location],
        INDEX(Table1[], , MATCH(K$1, Table1[#Headers], 0))
    ),
"")</f>
        <v>39378.364650889263</v>
      </c>
      <c r="L65" s="28" cm="1">
        <f t="array" ref="L65">IFERROR(
    _xlfn.XLOOKUP(
        $A65,
        Table1[Location],
        INDEX(Table1[], , MATCH(L$1, Table1[#Headers], 0))
    ),
"")</f>
        <v>13418.376139324741</v>
      </c>
      <c r="M65" s="28" cm="1">
        <f t="array" ref="M65">IFERROR(
    _xlfn.XLOOKUP(
        $A65,
        Table1[Location],
        INDEX(Table1[], , MATCH(M$1, Table1[#Headers], 0))
    ),
"")</f>
        <v>17514.561119993559</v>
      </c>
      <c r="N65" s="28" cm="1">
        <f t="array" ref="N65">IFERROR(
    _xlfn.XLOOKUP(
        $A65,
        Table1[Location],
        INDEX(Table1[], , MATCH(N$1, Table1[#Headers], 0))
    ),
"")</f>
        <v>13846.736323303319</v>
      </c>
      <c r="O65" s="28">
        <f t="shared" si="1"/>
        <v>198046.90623337013</v>
      </c>
      <c r="Q65" s="28">
        <f t="shared" si="2"/>
        <v>0</v>
      </c>
      <c r="R65" s="28">
        <f t="shared" si="3"/>
        <v>0</v>
      </c>
      <c r="S65" s="28">
        <f t="shared" si="4"/>
        <v>50</v>
      </c>
      <c r="T65" s="28">
        <f t="shared" si="5"/>
        <v>75</v>
      </c>
      <c r="U65" s="28">
        <f t="shared" si="6"/>
        <v>250</v>
      </c>
      <c r="V65" s="28">
        <f t="shared" si="7"/>
        <v>168.74</v>
      </c>
      <c r="W65" s="28">
        <f t="shared" si="8"/>
        <v>331.02636286924599</v>
      </c>
      <c r="X65" s="28">
        <f t="shared" si="9"/>
        <v>264.12231712934641</v>
      </c>
      <c r="Y65" s="28">
        <f t="shared" si="10"/>
        <v>393.78364650889262</v>
      </c>
      <c r="Z65" s="28">
        <f t="shared" si="11"/>
        <v>134.18376139324741</v>
      </c>
      <c r="AA65" s="28">
        <f t="shared" si="12"/>
        <v>175.14561119993559</v>
      </c>
      <c r="AB65" s="28">
        <f t="shared" si="13"/>
        <v>138.46736323303318</v>
      </c>
      <c r="AC65" s="28">
        <f t="shared" si="14"/>
        <v>1980.469062333701</v>
      </c>
    </row>
    <row r="66" spans="1:29" x14ac:dyDescent="0.3">
      <c r="A66" s="29" t="s">
        <v>146</v>
      </c>
      <c r="B66" s="32" t="str" cm="1">
        <f t="array" ref="B66">IFERROR(
    _xlfn.XLOOKUP(
        $A66,
        Table1[Location],
        INDEX(Table1[], , MATCH(B$1, Table1[#Headers], 0))
    ),
"")</f>
        <v>TBD</v>
      </c>
      <c r="C66" s="28" cm="1">
        <f t="array" ref="C66">IFERROR(
    _xlfn.XLOOKUP(
        $A66,
        Table1[Location],
        INDEX(Table1[], , MATCH(C$1, Table1[#Headers], 0))
    ),
"")</f>
        <v>0</v>
      </c>
      <c r="D66" s="28" cm="1">
        <f t="array" ref="D66">IFERROR(
    _xlfn.XLOOKUP(
        $A66,
        Table1[Location],
        INDEX(Table1[], , MATCH(D$1, Table1[#Headers], 0))
    ),
"")</f>
        <v>0</v>
      </c>
      <c r="E66" s="28" cm="1">
        <f t="array" ref="E66">IFERROR(
    _xlfn.XLOOKUP(
        $A66,
        Table1[Location],
        INDEX(Table1[], , MATCH(E$1, Table1[#Headers], 0))
    ),
"")</f>
        <v>5000</v>
      </c>
      <c r="F66" s="28" cm="1">
        <f t="array" ref="F66">IFERROR(
    _xlfn.XLOOKUP(
        $A66,
        Table1[Location],
        INDEX(Table1[], , MATCH(F$1, Table1[#Headers], 0))
    ),
"")</f>
        <v>7500</v>
      </c>
      <c r="G66" s="28" cm="1">
        <f t="array" ref="G66">IFERROR(
    _xlfn.XLOOKUP(
        $A66,
        Table1[Location],
        INDEX(Table1[], , MATCH(G$1, Table1[#Headers], 0))
    ),
"")</f>
        <v>25000</v>
      </c>
      <c r="H66" s="28" cm="1">
        <f t="array" ref="H66">IFERROR(
    _xlfn.XLOOKUP(
        $A66,
        Table1[Location],
        INDEX(Table1[], , MATCH(H$1, Table1[#Headers], 0))
    ),
"")</f>
        <v>16325</v>
      </c>
      <c r="I66" s="28" cm="1">
        <f t="array" ref="I66">IFERROR(
    _xlfn.XLOOKUP(
        $A66,
        Table1[Location],
        INDEX(Table1[], , MATCH(I$1, Table1[#Headers], 0))
    ),
"")</f>
        <v>42151.781656174673</v>
      </c>
      <c r="J66" s="28" cm="1">
        <f t="array" ref="J66">IFERROR(
    _xlfn.XLOOKUP(
        $A66,
        Table1[Location],
        INDEX(Table1[], , MATCH(J$1, Table1[#Headers], 0))
    ),
"")</f>
        <v>37057.15938449934</v>
      </c>
      <c r="K66" s="28" cm="1">
        <f t="array" ref="K66">IFERROR(
    _xlfn.XLOOKUP(
        $A66,
        Table1[Location],
        INDEX(Table1[], , MATCH(K$1, Table1[#Headers], 0))
    ),
"")</f>
        <v>34208.157773151601</v>
      </c>
      <c r="L66" s="28" cm="1">
        <f t="array" ref="L66">IFERROR(
    _xlfn.XLOOKUP(
        $A66,
        Table1[Location],
        INDEX(Table1[], , MATCH(L$1, Table1[#Headers], 0))
    ),
"")</f>
        <v>23906.710121854041</v>
      </c>
      <c r="M66" s="28" cm="1">
        <f t="array" ref="M66">IFERROR(
    _xlfn.XLOOKUP(
        $A66,
        Table1[Location],
        INDEX(Table1[], , MATCH(M$1, Table1[#Headers], 0))
    ),
"")</f>
        <v>20195.652164007621</v>
      </c>
      <c r="N66" s="28" cm="1">
        <f t="array" ref="N66">IFERROR(
    _xlfn.XLOOKUP(
        $A66,
        Table1[Location],
        INDEX(Table1[], , MATCH(N$1, Table1[#Headers], 0))
    ),
"")</f>
        <v>8346.0245934266568</v>
      </c>
      <c r="O66" s="28">
        <f t="shared" si="1"/>
        <v>219690.48569311394</v>
      </c>
      <c r="Q66" s="28">
        <f t="shared" si="2"/>
        <v>0</v>
      </c>
      <c r="R66" s="28">
        <f t="shared" si="3"/>
        <v>0</v>
      </c>
      <c r="S66" s="28">
        <f t="shared" si="4"/>
        <v>50</v>
      </c>
      <c r="T66" s="28">
        <f t="shared" si="5"/>
        <v>75</v>
      </c>
      <c r="U66" s="28">
        <f t="shared" si="6"/>
        <v>250</v>
      </c>
      <c r="V66" s="28">
        <f t="shared" si="7"/>
        <v>163.25</v>
      </c>
      <c r="W66" s="28">
        <f t="shared" si="8"/>
        <v>421.51781656174671</v>
      </c>
      <c r="X66" s="28">
        <f t="shared" si="9"/>
        <v>370.5715938449934</v>
      </c>
      <c r="Y66" s="28">
        <f t="shared" si="10"/>
        <v>342.08157773151601</v>
      </c>
      <c r="Z66" s="28">
        <f t="shared" si="11"/>
        <v>239.06710121854042</v>
      </c>
      <c r="AA66" s="28">
        <f t="shared" si="12"/>
        <v>201.9565216400762</v>
      </c>
      <c r="AB66" s="28">
        <f t="shared" si="13"/>
        <v>83.460245934266567</v>
      </c>
      <c r="AC66" s="28">
        <f t="shared" si="14"/>
        <v>2196.904856931139</v>
      </c>
    </row>
    <row r="67" spans="1:29" x14ac:dyDescent="0.3">
      <c r="A67" s="29" t="s">
        <v>147</v>
      </c>
      <c r="B67" s="32" t="str" cm="1">
        <f t="array" ref="B67">IFERROR(
    _xlfn.XLOOKUP(
        $A67,
        Table1[Location],
        INDEX(Table1[], , MATCH(B$1, Table1[#Headers], 0))
    ),
"")</f>
        <v>TBD</v>
      </c>
      <c r="C67" s="28" cm="1">
        <f t="array" ref="C67">IFERROR(
    _xlfn.XLOOKUP(
        $A67,
        Table1[Location],
        INDEX(Table1[], , MATCH(C$1, Table1[#Headers], 0))
    ),
"")</f>
        <v>0</v>
      </c>
      <c r="D67" s="28" cm="1">
        <f t="array" ref="D67">IFERROR(
    _xlfn.XLOOKUP(
        $A67,
        Table1[Location],
        INDEX(Table1[], , MATCH(D$1, Table1[#Headers], 0))
    ),
"")</f>
        <v>0</v>
      </c>
      <c r="E67" s="28" cm="1">
        <f t="array" ref="E67">IFERROR(
    _xlfn.XLOOKUP(
        $A67,
        Table1[Location],
        INDEX(Table1[], , MATCH(E$1, Table1[#Headers], 0))
    ),
"")</f>
        <v>5000</v>
      </c>
      <c r="F67" s="28" cm="1">
        <f t="array" ref="F67">IFERROR(
    _xlfn.XLOOKUP(
        $A67,
        Table1[Location],
        INDEX(Table1[], , MATCH(F$1, Table1[#Headers], 0))
    ),
"")</f>
        <v>7500</v>
      </c>
      <c r="G67" s="28" cm="1">
        <f t="array" ref="G67">IFERROR(
    _xlfn.XLOOKUP(
        $A67,
        Table1[Location],
        INDEX(Table1[], , MATCH(G$1, Table1[#Headers], 0))
    ),
"")</f>
        <v>25000</v>
      </c>
      <c r="H67" s="28" cm="1">
        <f t="array" ref="H67">IFERROR(
    _xlfn.XLOOKUP(
        $A67,
        Table1[Location],
        INDEX(Table1[], , MATCH(H$1, Table1[#Headers], 0))
    ),
"")</f>
        <v>20126</v>
      </c>
      <c r="I67" s="28" cm="1">
        <f t="array" ref="I67">IFERROR(
    _xlfn.XLOOKUP(
        $A67,
        Table1[Location],
        INDEX(Table1[], , MATCH(I$1, Table1[#Headers], 0))
    ),
"")</f>
        <v>0</v>
      </c>
      <c r="J67" s="28" cm="1">
        <f t="array" ref="J67">IFERROR(
    _xlfn.XLOOKUP(
        $A67,
        Table1[Location],
        INDEX(Table1[], , MATCH(J$1, Table1[#Headers], 0))
    ),
"")</f>
        <v>0</v>
      </c>
      <c r="K67" s="28" cm="1">
        <f t="array" ref="K67">IFERROR(
    _xlfn.XLOOKUP(
        $A67,
        Table1[Location],
        INDEX(Table1[], , MATCH(K$1, Table1[#Headers], 0))
    ),
"")</f>
        <v>28571.844014561171</v>
      </c>
      <c r="L67" s="28" cm="1">
        <f t="array" ref="L67">IFERROR(
    _xlfn.XLOOKUP(
        $A67,
        Table1[Location],
        INDEX(Table1[], , MATCH(L$1, Table1[#Headers], 0))
    ),
"")</f>
        <v>23575.173840930649</v>
      </c>
      <c r="M67" s="28" cm="1">
        <f t="array" ref="M67">IFERROR(
    _xlfn.XLOOKUP(
        $A67,
        Table1[Location],
        INDEX(Table1[], , MATCH(M$1, Table1[#Headers], 0))
    ),
"")</f>
        <v>16739.498135245049</v>
      </c>
      <c r="N67" s="28" cm="1">
        <f t="array" ref="N67">IFERROR(
    _xlfn.XLOOKUP(
        $A67,
        Table1[Location],
        INDEX(Table1[], , MATCH(N$1, Table1[#Headers], 0))
    ),
"")</f>
        <v>9717.8868930463359</v>
      </c>
      <c r="O67" s="28">
        <f t="shared" ref="O67:O128" si="15">SUM(C67:N67)</f>
        <v>136230.40288378322</v>
      </c>
      <c r="Q67" s="28">
        <f t="shared" ref="Q67:Q128" si="16">C67*0.01</f>
        <v>0</v>
      </c>
      <c r="R67" s="28">
        <f t="shared" ref="R67:R128" si="17">D67*0.01</f>
        <v>0</v>
      </c>
      <c r="S67" s="28">
        <f t="shared" ref="S67:S128" si="18">E67*0.01</f>
        <v>50</v>
      </c>
      <c r="T67" s="28">
        <f t="shared" ref="T67:T128" si="19">F67*0.01</f>
        <v>75</v>
      </c>
      <c r="U67" s="28">
        <f t="shared" ref="U67:U128" si="20">G67*0.01</f>
        <v>250</v>
      </c>
      <c r="V67" s="28">
        <f t="shared" ref="V67:V128" si="21">H67*0.01</f>
        <v>201.26</v>
      </c>
      <c r="W67" s="28">
        <f t="shared" ref="W67:W128" si="22">I67*0.01</f>
        <v>0</v>
      </c>
      <c r="X67" s="28">
        <f t="shared" ref="X67:X128" si="23">J67*0.01</f>
        <v>0</v>
      </c>
      <c r="Y67" s="28">
        <f t="shared" ref="Y67:Y128" si="24">K67*0.01</f>
        <v>285.71844014561174</v>
      </c>
      <c r="Z67" s="28">
        <f t="shared" ref="Z67:Z128" si="25">L67*0.01</f>
        <v>235.75173840930648</v>
      </c>
      <c r="AA67" s="28">
        <f t="shared" ref="AA67:AA128" si="26">M67*0.01</f>
        <v>167.39498135245049</v>
      </c>
      <c r="AB67" s="28">
        <f t="shared" ref="AB67:AB128" si="27">N67*0.01</f>
        <v>97.178868930463366</v>
      </c>
      <c r="AC67" s="28">
        <f t="shared" ref="AC67:AC128" si="28">SUM(Q67:AB67)</f>
        <v>1362.304028837832</v>
      </c>
    </row>
    <row r="68" spans="1:29" x14ac:dyDescent="0.3">
      <c r="A68" s="29" t="s">
        <v>148</v>
      </c>
      <c r="B68" s="32" t="str" cm="1">
        <f t="array" ref="B68">IFERROR(
    _xlfn.XLOOKUP(
        $A68,
        Table1[Location],
        INDEX(Table1[], , MATCH(B$1, Table1[#Headers], 0))
    ),
"")</f>
        <v>TBD</v>
      </c>
      <c r="C68" s="28" cm="1">
        <f t="array" ref="C68">IFERROR(
    _xlfn.XLOOKUP(
        $A68,
        Table1[Location],
        INDEX(Table1[], , MATCH(C$1, Table1[#Headers], 0))
    ),
"")</f>
        <v>0</v>
      </c>
      <c r="D68" s="28" cm="1">
        <f t="array" ref="D68">IFERROR(
    _xlfn.XLOOKUP(
        $A68,
        Table1[Location],
        INDEX(Table1[], , MATCH(D$1, Table1[#Headers], 0))
    ),
"")</f>
        <v>0</v>
      </c>
      <c r="E68" s="28" cm="1">
        <f t="array" ref="E68">IFERROR(
    _xlfn.XLOOKUP(
        $A68,
        Table1[Location],
        INDEX(Table1[], , MATCH(E$1, Table1[#Headers], 0))
    ),
"")</f>
        <v>0</v>
      </c>
      <c r="F68" s="28" cm="1">
        <f t="array" ref="F68">IFERROR(
    _xlfn.XLOOKUP(
        $A68,
        Table1[Location],
        INDEX(Table1[], , MATCH(F$1, Table1[#Headers], 0))
    ),
"")</f>
        <v>5000</v>
      </c>
      <c r="G68" s="28" cm="1">
        <f t="array" ref="G68">IFERROR(
    _xlfn.XLOOKUP(
        $A68,
        Table1[Location],
        INDEX(Table1[], , MATCH(G$1, Table1[#Headers], 0))
    ),
"")</f>
        <v>7500</v>
      </c>
      <c r="H68" s="28" cm="1">
        <f t="array" ref="H68">IFERROR(
    _xlfn.XLOOKUP(
        $A68,
        Table1[Location],
        INDEX(Table1[], , MATCH(H$1, Table1[#Headers], 0))
    ),
"")</f>
        <v>25000</v>
      </c>
      <c r="I68" s="28" cm="1">
        <f t="array" ref="I68">IFERROR(
    _xlfn.XLOOKUP(
        $A68,
        Table1[Location],
        INDEX(Table1[], , MATCH(I$1, Table1[#Headers], 0))
    ),
"")</f>
        <v>0</v>
      </c>
      <c r="J68" s="28" cm="1">
        <f t="array" ref="J68">IFERROR(
    _xlfn.XLOOKUP(
        $A68,
        Table1[Location],
        INDEX(Table1[], , MATCH(J$1, Table1[#Headers], 0))
    ),
"")</f>
        <v>0</v>
      </c>
      <c r="K68" s="28" cm="1">
        <f t="array" ref="K68">IFERROR(
    _xlfn.XLOOKUP(
        $A68,
        Table1[Location],
        INDEX(Table1[], , MATCH(K$1, Table1[#Headers], 0))
    ),
"")</f>
        <v>25273.354924770349</v>
      </c>
      <c r="L68" s="28" cm="1">
        <f t="array" ref="L68">IFERROR(
    _xlfn.XLOOKUP(
        $A68,
        Table1[Location],
        INDEX(Table1[], , MATCH(L$1, Table1[#Headers], 0))
    ),
"")</f>
        <v>20576.18195043876</v>
      </c>
      <c r="M68" s="28" cm="1">
        <f t="array" ref="M68">IFERROR(
    _xlfn.XLOOKUP(
        $A68,
        Table1[Location],
        INDEX(Table1[], , MATCH(M$1, Table1[#Headers], 0))
    ),
"")</f>
        <v>12759.766000494221</v>
      </c>
      <c r="N68" s="28" cm="1">
        <f t="array" ref="N68">IFERROR(
    _xlfn.XLOOKUP(
        $A68,
        Table1[Location],
        INDEX(Table1[], , MATCH(N$1, Table1[#Headers], 0))
    ),
"")</f>
        <v>14351.5937818491</v>
      </c>
      <c r="O68" s="28">
        <f t="shared" si="15"/>
        <v>110460.89665755242</v>
      </c>
      <c r="Q68" s="28">
        <f t="shared" si="16"/>
        <v>0</v>
      </c>
      <c r="R68" s="28">
        <f t="shared" si="17"/>
        <v>0</v>
      </c>
      <c r="S68" s="28">
        <f t="shared" si="18"/>
        <v>0</v>
      </c>
      <c r="T68" s="28">
        <f t="shared" si="19"/>
        <v>50</v>
      </c>
      <c r="U68" s="28">
        <f t="shared" si="20"/>
        <v>75</v>
      </c>
      <c r="V68" s="28">
        <f t="shared" si="21"/>
        <v>250</v>
      </c>
      <c r="W68" s="28">
        <f t="shared" si="22"/>
        <v>0</v>
      </c>
      <c r="X68" s="28">
        <f t="shared" si="23"/>
        <v>0</v>
      </c>
      <c r="Y68" s="28">
        <f t="shared" si="24"/>
        <v>252.73354924770348</v>
      </c>
      <c r="Z68" s="28">
        <f t="shared" si="25"/>
        <v>205.7618195043876</v>
      </c>
      <c r="AA68" s="28">
        <f t="shared" si="26"/>
        <v>127.59766000494221</v>
      </c>
      <c r="AB68" s="28">
        <f t="shared" si="27"/>
        <v>143.51593781849101</v>
      </c>
      <c r="AC68" s="28">
        <f t="shared" si="28"/>
        <v>1104.6089665755244</v>
      </c>
    </row>
    <row r="69" spans="1:29" x14ac:dyDescent="0.3">
      <c r="A69" s="29" t="s">
        <v>149</v>
      </c>
      <c r="B69" s="32" t="str" cm="1">
        <f t="array" ref="B69">IFERROR(
    _xlfn.XLOOKUP(
        $A69,
        Table1[Location],
        INDEX(Table1[], , MATCH(B$1, Table1[#Headers], 0))
    ),
"")</f>
        <v>TBD</v>
      </c>
      <c r="C69" s="28" cm="1">
        <f t="array" ref="C69">IFERROR(
    _xlfn.XLOOKUP(
        $A69,
        Table1[Location],
        INDEX(Table1[], , MATCH(C$1, Table1[#Headers], 0))
    ),
"")</f>
        <v>0</v>
      </c>
      <c r="D69" s="28" cm="1">
        <f t="array" ref="D69">IFERROR(
    _xlfn.XLOOKUP(
        $A69,
        Table1[Location],
        INDEX(Table1[], , MATCH(D$1, Table1[#Headers], 0))
    ),
"")</f>
        <v>0</v>
      </c>
      <c r="E69" s="28" cm="1">
        <f t="array" ref="E69">IFERROR(
    _xlfn.XLOOKUP(
        $A69,
        Table1[Location],
        INDEX(Table1[], , MATCH(E$1, Table1[#Headers], 0))
    ),
"")</f>
        <v>0</v>
      </c>
      <c r="F69" s="28" cm="1">
        <f t="array" ref="F69">IFERROR(
    _xlfn.XLOOKUP(
        $A69,
        Table1[Location],
        INDEX(Table1[], , MATCH(F$1, Table1[#Headers], 0))
    ),
"")</f>
        <v>5000</v>
      </c>
      <c r="G69" s="28" cm="1">
        <f t="array" ref="G69">IFERROR(
    _xlfn.XLOOKUP(
        $A69,
        Table1[Location],
        INDEX(Table1[], , MATCH(G$1, Table1[#Headers], 0))
    ),
"")</f>
        <v>7500</v>
      </c>
      <c r="H69" s="28" cm="1">
        <f t="array" ref="H69">IFERROR(
    _xlfn.XLOOKUP(
        $A69,
        Table1[Location],
        INDEX(Table1[], , MATCH(H$1, Table1[#Headers], 0))
    ),
"")</f>
        <v>25000</v>
      </c>
      <c r="I69" s="28" cm="1">
        <f t="array" ref="I69">IFERROR(
    _xlfn.XLOOKUP(
        $A69,
        Table1[Location],
        INDEX(Table1[], , MATCH(I$1, Table1[#Headers], 0))
    ),
"")</f>
        <v>52799.332198601107</v>
      </c>
      <c r="J69" s="28" cm="1">
        <f t="array" ref="J69">IFERROR(
    _xlfn.XLOOKUP(
        $A69,
        Table1[Location],
        INDEX(Table1[], , MATCH(J$1, Table1[#Headers], 0))
    ),
"")</f>
        <v>51842.930317157501</v>
      </c>
      <c r="K69" s="28" cm="1">
        <f t="array" ref="K69">IFERROR(
    _xlfn.XLOOKUP(
        $A69,
        Table1[Location],
        INDEX(Table1[], , MATCH(K$1, Table1[#Headers], 0))
    ),
"")</f>
        <v>33658.536966293592</v>
      </c>
      <c r="L69" s="28" cm="1">
        <f t="array" ref="L69">IFERROR(
    _xlfn.XLOOKUP(
        $A69,
        Table1[Location],
        INDEX(Table1[], , MATCH(L$1, Table1[#Headers], 0))
    ),
"")</f>
        <v>22455.2437467702</v>
      </c>
      <c r="M69" s="28" cm="1">
        <f t="array" ref="M69">IFERROR(
    _xlfn.XLOOKUP(
        $A69,
        Table1[Location],
        INDEX(Table1[], , MATCH(M$1, Table1[#Headers], 0))
    ),
"")</f>
        <v>11583.63293769311</v>
      </c>
      <c r="N69" s="28" cm="1">
        <f t="array" ref="N69">IFERROR(
    _xlfn.XLOOKUP(
        $A69,
        Table1[Location],
        INDEX(Table1[], , MATCH(N$1, Table1[#Headers], 0))
    ),
"")</f>
        <v>10852.726649908331</v>
      </c>
      <c r="O69" s="28">
        <f t="shared" si="15"/>
        <v>220692.40281642383</v>
      </c>
      <c r="Q69" s="28">
        <f t="shared" si="16"/>
        <v>0</v>
      </c>
      <c r="R69" s="28">
        <f t="shared" si="17"/>
        <v>0</v>
      </c>
      <c r="S69" s="28">
        <f t="shared" si="18"/>
        <v>0</v>
      </c>
      <c r="T69" s="28">
        <f t="shared" si="19"/>
        <v>50</v>
      </c>
      <c r="U69" s="28">
        <f t="shared" si="20"/>
        <v>75</v>
      </c>
      <c r="V69" s="28">
        <f t="shared" si="21"/>
        <v>250</v>
      </c>
      <c r="W69" s="28">
        <f t="shared" si="22"/>
        <v>527.9933219860111</v>
      </c>
      <c r="X69" s="28">
        <f t="shared" si="23"/>
        <v>518.42930317157504</v>
      </c>
      <c r="Y69" s="28">
        <f t="shared" si="24"/>
        <v>336.58536966293593</v>
      </c>
      <c r="Z69" s="28">
        <f t="shared" si="25"/>
        <v>224.55243746770202</v>
      </c>
      <c r="AA69" s="28">
        <f t="shared" si="26"/>
        <v>115.8363293769311</v>
      </c>
      <c r="AB69" s="28">
        <f t="shared" si="27"/>
        <v>108.52726649908331</v>
      </c>
      <c r="AC69" s="28">
        <f t="shared" si="28"/>
        <v>2206.9240281642387</v>
      </c>
    </row>
    <row r="70" spans="1:29" x14ac:dyDescent="0.3">
      <c r="A70" s="29" t="s">
        <v>151</v>
      </c>
      <c r="B70" s="32" t="str" cm="1">
        <f t="array" ref="B70">IFERROR(
    _xlfn.XLOOKUP(
        $A70,
        Table1[Location],
        INDEX(Table1[], , MATCH(B$1, Table1[#Headers], 0))
    ),
"")</f>
        <v>TBD</v>
      </c>
      <c r="C70" s="28" cm="1">
        <f t="array" ref="C70">IFERROR(
    _xlfn.XLOOKUP(
        $A70,
        Table1[Location],
        INDEX(Table1[], , MATCH(C$1, Table1[#Headers], 0))
    ),
"")</f>
        <v>0</v>
      </c>
      <c r="D70" s="28" cm="1">
        <f t="array" ref="D70">IFERROR(
    _xlfn.XLOOKUP(
        $A70,
        Table1[Location],
        INDEX(Table1[], , MATCH(D$1, Table1[#Headers], 0))
    ),
"")</f>
        <v>0</v>
      </c>
      <c r="E70" s="28" cm="1">
        <f t="array" ref="E70">IFERROR(
    _xlfn.XLOOKUP(
        $A70,
        Table1[Location],
        INDEX(Table1[], , MATCH(E$1, Table1[#Headers], 0))
    ),
"")</f>
        <v>0</v>
      </c>
      <c r="F70" s="28" cm="1">
        <f t="array" ref="F70">IFERROR(
    _xlfn.XLOOKUP(
        $A70,
        Table1[Location],
        INDEX(Table1[], , MATCH(F$1, Table1[#Headers], 0))
    ),
"")</f>
        <v>5000</v>
      </c>
      <c r="G70" s="28" cm="1">
        <f t="array" ref="G70">IFERROR(
    _xlfn.XLOOKUP(
        $A70,
        Table1[Location],
        INDEX(Table1[], , MATCH(G$1, Table1[#Headers], 0))
    ),
"")</f>
        <v>7500</v>
      </c>
      <c r="H70" s="28" cm="1">
        <f t="array" ref="H70">IFERROR(
    _xlfn.XLOOKUP(
        $A70,
        Table1[Location],
        INDEX(Table1[], , MATCH(H$1, Table1[#Headers], 0))
    ),
"")</f>
        <v>25000</v>
      </c>
      <c r="I70" s="28" cm="1">
        <f t="array" ref="I70">IFERROR(
    _xlfn.XLOOKUP(
        $A70,
        Table1[Location],
        INDEX(Table1[], , MATCH(I$1, Table1[#Headers], 0))
    ),
"")</f>
        <v>31409.444183231659</v>
      </c>
      <c r="J70" s="28" cm="1">
        <f t="array" ref="J70">IFERROR(
    _xlfn.XLOOKUP(
        $A70,
        Table1[Location],
        INDEX(Table1[], , MATCH(J$1, Table1[#Headers], 0))
    ),
"")</f>
        <v>47581.367340091958</v>
      </c>
      <c r="K70" s="28" cm="1">
        <f t="array" ref="K70">IFERROR(
    _xlfn.XLOOKUP(
        $A70,
        Table1[Location],
        INDEX(Table1[], , MATCH(K$1, Table1[#Headers], 0))
    ),
"")</f>
        <v>31740.78111685468</v>
      </c>
      <c r="L70" s="28" cm="1">
        <f t="array" ref="L70">IFERROR(
    _xlfn.XLOOKUP(
        $A70,
        Table1[Location],
        INDEX(Table1[], , MATCH(L$1, Table1[#Headers], 0))
    ),
"")</f>
        <v>29300.372598714112</v>
      </c>
      <c r="M70" s="28" cm="1">
        <f t="array" ref="M70">IFERROR(
    _xlfn.XLOOKUP(
        $A70,
        Table1[Location],
        INDEX(Table1[], , MATCH(M$1, Table1[#Headers], 0))
    ),
"")</f>
        <v>18158.188588700701</v>
      </c>
      <c r="N70" s="28" cm="1">
        <f t="array" ref="N70">IFERROR(
    _xlfn.XLOOKUP(
        $A70,
        Table1[Location],
        INDEX(Table1[], , MATCH(N$1, Table1[#Headers], 0))
    ),
"")</f>
        <v>15537.71739989675</v>
      </c>
      <c r="O70" s="28">
        <f t="shared" si="15"/>
        <v>211227.87122748987</v>
      </c>
      <c r="Q70" s="28">
        <f t="shared" si="16"/>
        <v>0</v>
      </c>
      <c r="R70" s="28">
        <f t="shared" si="17"/>
        <v>0</v>
      </c>
      <c r="S70" s="28">
        <f t="shared" si="18"/>
        <v>0</v>
      </c>
      <c r="T70" s="28">
        <f t="shared" si="19"/>
        <v>50</v>
      </c>
      <c r="U70" s="28">
        <f t="shared" si="20"/>
        <v>75</v>
      </c>
      <c r="V70" s="28">
        <f t="shared" si="21"/>
        <v>250</v>
      </c>
      <c r="W70" s="28">
        <f t="shared" si="22"/>
        <v>314.09444183231659</v>
      </c>
      <c r="X70" s="28">
        <f t="shared" si="23"/>
        <v>475.81367340091958</v>
      </c>
      <c r="Y70" s="28">
        <f t="shared" si="24"/>
        <v>317.4078111685468</v>
      </c>
      <c r="Z70" s="28">
        <f t="shared" si="25"/>
        <v>293.00372598714114</v>
      </c>
      <c r="AA70" s="28">
        <f t="shared" si="26"/>
        <v>181.58188588700702</v>
      </c>
      <c r="AB70" s="28">
        <f t="shared" si="27"/>
        <v>155.37717399896749</v>
      </c>
      <c r="AC70" s="28">
        <f t="shared" si="28"/>
        <v>2112.2787122748982</v>
      </c>
    </row>
    <row r="71" spans="1:29" x14ac:dyDescent="0.3">
      <c r="A71" s="29" t="s">
        <v>152</v>
      </c>
      <c r="B71" s="32" t="str" cm="1">
        <f t="array" ref="B71">IFERROR(
    _xlfn.XLOOKUP(
        $A71,
        Table1[Location],
        INDEX(Table1[], , MATCH(B$1, Table1[#Headers], 0))
    ),
"")</f>
        <v>TBD</v>
      </c>
      <c r="C71" s="28" cm="1">
        <f t="array" ref="C71">IFERROR(
    _xlfn.XLOOKUP(
        $A71,
        Table1[Location],
        INDEX(Table1[], , MATCH(C$1, Table1[#Headers], 0))
    ),
"")</f>
        <v>0</v>
      </c>
      <c r="D71" s="28" cm="1">
        <f t="array" ref="D71">IFERROR(
    _xlfn.XLOOKUP(
        $A71,
        Table1[Location],
        INDEX(Table1[], , MATCH(D$1, Table1[#Headers], 0))
    ),
"")</f>
        <v>0</v>
      </c>
      <c r="E71" s="28" cm="1">
        <f t="array" ref="E71">IFERROR(
    _xlfn.XLOOKUP(
        $A71,
        Table1[Location],
        INDEX(Table1[], , MATCH(E$1, Table1[#Headers], 0))
    ),
"")</f>
        <v>0</v>
      </c>
      <c r="F71" s="28" cm="1">
        <f t="array" ref="F71">IFERROR(
    _xlfn.XLOOKUP(
        $A71,
        Table1[Location],
        INDEX(Table1[], , MATCH(F$1, Table1[#Headers], 0))
    ),
"")</f>
        <v>5000</v>
      </c>
      <c r="G71" s="28" cm="1">
        <f t="array" ref="G71">IFERROR(
    _xlfn.XLOOKUP(
        $A71,
        Table1[Location],
        INDEX(Table1[], , MATCH(G$1, Table1[#Headers], 0))
    ),
"")</f>
        <v>7500</v>
      </c>
      <c r="H71" s="28" cm="1">
        <f t="array" ref="H71">IFERROR(
    _xlfn.XLOOKUP(
        $A71,
        Table1[Location],
        INDEX(Table1[], , MATCH(H$1, Table1[#Headers], 0))
    ),
"")</f>
        <v>25000</v>
      </c>
      <c r="I71" s="28" cm="1">
        <f t="array" ref="I71">IFERROR(
    _xlfn.XLOOKUP(
        $A71,
        Table1[Location],
        INDEX(Table1[], , MATCH(I$1, Table1[#Headers], 0))
    ),
"")</f>
        <v>0</v>
      </c>
      <c r="J71" s="28" cm="1">
        <f t="array" ref="J71">IFERROR(
    _xlfn.XLOOKUP(
        $A71,
        Table1[Location],
        INDEX(Table1[], , MATCH(J$1, Table1[#Headers], 0))
    ),
"")</f>
        <v>50086.186493128043</v>
      </c>
      <c r="K71" s="28" cm="1">
        <f t="array" ref="K71">IFERROR(
    _xlfn.XLOOKUP(
        $A71,
        Table1[Location],
        INDEX(Table1[], , MATCH(K$1, Table1[#Headers], 0))
    ),
"")</f>
        <v>49663.77613227992</v>
      </c>
      <c r="L71" s="28" cm="1">
        <f t="array" ref="L71">IFERROR(
    _xlfn.XLOOKUP(
        $A71,
        Table1[Location],
        INDEX(Table1[], , MATCH(L$1, Table1[#Headers], 0))
    ),
"")</f>
        <v>21291.9193396911</v>
      </c>
      <c r="M71" s="28" cm="1">
        <f t="array" ref="M71">IFERROR(
    _xlfn.XLOOKUP(
        $A71,
        Table1[Location],
        INDEX(Table1[], , MATCH(M$1, Table1[#Headers], 0))
    ),
"")</f>
        <v>20573.160341722691</v>
      </c>
      <c r="N71" s="28" cm="1">
        <f t="array" ref="N71">IFERROR(
    _xlfn.XLOOKUP(
        $A71,
        Table1[Location],
        INDEX(Table1[], , MATCH(N$1, Table1[#Headers], 0))
    ),
"")</f>
        <v>8171.2830070032032</v>
      </c>
      <c r="O71" s="28">
        <f t="shared" si="15"/>
        <v>187286.32531382496</v>
      </c>
      <c r="Q71" s="28">
        <f t="shared" si="16"/>
        <v>0</v>
      </c>
      <c r="R71" s="28">
        <f t="shared" si="17"/>
        <v>0</v>
      </c>
      <c r="S71" s="28">
        <f t="shared" si="18"/>
        <v>0</v>
      </c>
      <c r="T71" s="28">
        <f t="shared" si="19"/>
        <v>50</v>
      </c>
      <c r="U71" s="28">
        <f t="shared" si="20"/>
        <v>75</v>
      </c>
      <c r="V71" s="28">
        <f t="shared" si="21"/>
        <v>250</v>
      </c>
      <c r="W71" s="28">
        <f t="shared" si="22"/>
        <v>0</v>
      </c>
      <c r="X71" s="28">
        <f t="shared" si="23"/>
        <v>500.86186493128042</v>
      </c>
      <c r="Y71" s="28">
        <f t="shared" si="24"/>
        <v>496.63776132279924</v>
      </c>
      <c r="Z71" s="28">
        <f t="shared" si="25"/>
        <v>212.919193396911</v>
      </c>
      <c r="AA71" s="28">
        <f t="shared" si="26"/>
        <v>205.73160341722692</v>
      </c>
      <c r="AB71" s="28">
        <f t="shared" si="27"/>
        <v>81.712830070032041</v>
      </c>
      <c r="AC71" s="28">
        <f t="shared" si="28"/>
        <v>1872.8632531382495</v>
      </c>
    </row>
    <row r="72" spans="1:29" x14ac:dyDescent="0.3">
      <c r="A72" s="29" t="s">
        <v>153</v>
      </c>
      <c r="B72" s="32" t="str" cm="1">
        <f t="array" ref="B72">IFERROR(
    _xlfn.XLOOKUP(
        $A72,
        Table1[Location],
        INDEX(Table1[], , MATCH(B$1, Table1[#Headers], 0))
    ),
"")</f>
        <v>TBD</v>
      </c>
      <c r="C72" s="28" cm="1">
        <f t="array" ref="C72">IFERROR(
    _xlfn.XLOOKUP(
        $A72,
        Table1[Location],
        INDEX(Table1[], , MATCH(C$1, Table1[#Headers], 0))
    ),
"")</f>
        <v>0</v>
      </c>
      <c r="D72" s="28" cm="1">
        <f t="array" ref="D72">IFERROR(
    _xlfn.XLOOKUP(
        $A72,
        Table1[Location],
        INDEX(Table1[], , MATCH(D$1, Table1[#Headers], 0))
    ),
"")</f>
        <v>0</v>
      </c>
      <c r="E72" s="28" cm="1">
        <f t="array" ref="E72">IFERROR(
    _xlfn.XLOOKUP(
        $A72,
        Table1[Location],
        INDEX(Table1[], , MATCH(E$1, Table1[#Headers], 0))
    ),
"")</f>
        <v>0</v>
      </c>
      <c r="F72" s="28" cm="1">
        <f t="array" ref="F72">IFERROR(
    _xlfn.XLOOKUP(
        $A72,
        Table1[Location],
        INDEX(Table1[], , MATCH(F$1, Table1[#Headers], 0))
    ),
"")</f>
        <v>5000</v>
      </c>
      <c r="G72" s="28" cm="1">
        <f t="array" ref="G72">IFERROR(
    _xlfn.XLOOKUP(
        $A72,
        Table1[Location],
        INDEX(Table1[], , MATCH(G$1, Table1[#Headers], 0))
    ),
"")</f>
        <v>7500</v>
      </c>
      <c r="H72" s="28" cm="1">
        <f t="array" ref="H72">IFERROR(
    _xlfn.XLOOKUP(
        $A72,
        Table1[Location],
        INDEX(Table1[], , MATCH(H$1, Table1[#Headers], 0))
    ),
"")</f>
        <v>25000</v>
      </c>
      <c r="I72" s="28" cm="1">
        <f t="array" ref="I72">IFERROR(
    _xlfn.XLOOKUP(
        $A72,
        Table1[Location],
        INDEX(Table1[], , MATCH(I$1, Table1[#Headers], 0))
    ),
"")</f>
        <v>48727.162135308034</v>
      </c>
      <c r="J72" s="28" cm="1">
        <f t="array" ref="J72">IFERROR(
    _xlfn.XLOOKUP(
        $A72,
        Table1[Location],
        INDEX(Table1[], , MATCH(J$1, Table1[#Headers], 0))
    ),
"")</f>
        <v>23735.72177460185</v>
      </c>
      <c r="K72" s="28" cm="1">
        <f t="array" ref="K72">IFERROR(
    _xlfn.XLOOKUP(
        $A72,
        Table1[Location],
        INDEX(Table1[], , MATCH(K$1, Table1[#Headers], 0))
    ),
"")</f>
        <v>29649.166455219962</v>
      </c>
      <c r="L72" s="28" cm="1">
        <f t="array" ref="L72">IFERROR(
    _xlfn.XLOOKUP(
        $A72,
        Table1[Location],
        INDEX(Table1[], , MATCH(L$1, Table1[#Headers], 0))
    ),
"")</f>
        <v>22743.110098445461</v>
      </c>
      <c r="M72" s="28" cm="1">
        <f t="array" ref="M72">IFERROR(
    _xlfn.XLOOKUP(
        $A72,
        Table1[Location],
        INDEX(Table1[], , MATCH(M$1, Table1[#Headers], 0))
    ),
"")</f>
        <v>11516.226133129019</v>
      </c>
      <c r="N72" s="28" cm="1">
        <f t="array" ref="N72">IFERROR(
    _xlfn.XLOOKUP(
        $A72,
        Table1[Location],
        INDEX(Table1[], , MATCH(N$1, Table1[#Headers], 0))
    ),
"")</f>
        <v>7334.1932332016177</v>
      </c>
      <c r="O72" s="28">
        <f t="shared" si="15"/>
        <v>181205.57982990594</v>
      </c>
      <c r="Q72" s="28">
        <f t="shared" si="16"/>
        <v>0</v>
      </c>
      <c r="R72" s="28">
        <f t="shared" si="17"/>
        <v>0</v>
      </c>
      <c r="S72" s="28">
        <f t="shared" si="18"/>
        <v>0</v>
      </c>
      <c r="T72" s="28">
        <f t="shared" si="19"/>
        <v>50</v>
      </c>
      <c r="U72" s="28">
        <f t="shared" si="20"/>
        <v>75</v>
      </c>
      <c r="V72" s="28">
        <f t="shared" si="21"/>
        <v>250</v>
      </c>
      <c r="W72" s="28">
        <f t="shared" si="22"/>
        <v>487.27162135308032</v>
      </c>
      <c r="X72" s="28">
        <f t="shared" si="23"/>
        <v>237.35721774601851</v>
      </c>
      <c r="Y72" s="28">
        <f t="shared" si="24"/>
        <v>296.49166455219961</v>
      </c>
      <c r="Z72" s="28">
        <f t="shared" si="25"/>
        <v>227.43110098445462</v>
      </c>
      <c r="AA72" s="28">
        <f t="shared" si="26"/>
        <v>115.1622613312902</v>
      </c>
      <c r="AB72" s="28">
        <f t="shared" si="27"/>
        <v>73.341932332016185</v>
      </c>
      <c r="AC72" s="28">
        <f t="shared" si="28"/>
        <v>1812.0557982990592</v>
      </c>
    </row>
    <row r="73" spans="1:29" x14ac:dyDescent="0.3">
      <c r="A73" s="29" t="s">
        <v>154</v>
      </c>
      <c r="B73" s="32" t="str" cm="1">
        <f t="array" ref="B73">IFERROR(
    _xlfn.XLOOKUP(
        $A73,
        Table1[Location],
        INDEX(Table1[], , MATCH(B$1, Table1[#Headers], 0))
    ),
"")</f>
        <v>TBD</v>
      </c>
      <c r="C73" s="28" cm="1">
        <f t="array" ref="C73">IFERROR(
    _xlfn.XLOOKUP(
        $A73,
        Table1[Location],
        INDEX(Table1[], , MATCH(C$1, Table1[#Headers], 0))
    ),
"")</f>
        <v>0</v>
      </c>
      <c r="D73" s="28" cm="1">
        <f t="array" ref="D73">IFERROR(
    _xlfn.XLOOKUP(
        $A73,
        Table1[Location],
        INDEX(Table1[], , MATCH(D$1, Table1[#Headers], 0))
    ),
"")</f>
        <v>0</v>
      </c>
      <c r="E73" s="28" cm="1">
        <f t="array" ref="E73">IFERROR(
    _xlfn.XLOOKUP(
        $A73,
        Table1[Location],
        INDEX(Table1[], , MATCH(E$1, Table1[#Headers], 0))
    ),
"")</f>
        <v>0</v>
      </c>
      <c r="F73" s="28" cm="1">
        <f t="array" ref="F73">IFERROR(
    _xlfn.XLOOKUP(
        $A73,
        Table1[Location],
        INDEX(Table1[], , MATCH(F$1, Table1[#Headers], 0))
    ),
"")</f>
        <v>0</v>
      </c>
      <c r="G73" s="28" cm="1">
        <f t="array" ref="G73">IFERROR(
    _xlfn.XLOOKUP(
        $A73,
        Table1[Location],
        INDEX(Table1[], , MATCH(G$1, Table1[#Headers], 0))
    ),
"")</f>
        <v>5000</v>
      </c>
      <c r="H73" s="28" cm="1">
        <f t="array" ref="H73">IFERROR(
    _xlfn.XLOOKUP(
        $A73,
        Table1[Location],
        INDEX(Table1[], , MATCH(H$1, Table1[#Headers], 0))
    ),
"")</f>
        <v>7500</v>
      </c>
      <c r="I73" s="28" cm="1">
        <f t="array" ref="I73">IFERROR(
    _xlfn.XLOOKUP(
        $A73,
        Table1[Location],
        INDEX(Table1[], , MATCH(I$1, Table1[#Headers], 0))
    ),
"")</f>
        <v>0</v>
      </c>
      <c r="J73" s="28" cm="1">
        <f t="array" ref="J73">IFERROR(
    _xlfn.XLOOKUP(
        $A73,
        Table1[Location],
        INDEX(Table1[], , MATCH(J$1, Table1[#Headers], 0))
    ),
"")</f>
        <v>28399.050308502319</v>
      </c>
      <c r="K73" s="28" cm="1">
        <f t="array" ref="K73">IFERROR(
    _xlfn.XLOOKUP(
        $A73,
        Table1[Location],
        INDEX(Table1[], , MATCH(K$1, Table1[#Headers], 0))
    ),
"")</f>
        <v>27585.02351644712</v>
      </c>
      <c r="L73" s="28" cm="1">
        <f t="array" ref="L73">IFERROR(
    _xlfn.XLOOKUP(
        $A73,
        Table1[Location],
        INDEX(Table1[], , MATCH(L$1, Table1[#Headers], 0))
    ),
"")</f>
        <v>20097.43350186944</v>
      </c>
      <c r="M73" s="28" cm="1">
        <f t="array" ref="M73">IFERROR(
    _xlfn.XLOOKUP(
        $A73,
        Table1[Location],
        INDEX(Table1[], , MATCH(M$1, Table1[#Headers], 0))
    ),
"")</f>
        <v>18220.779422530119</v>
      </c>
      <c r="N73" s="28" cm="1">
        <f t="array" ref="N73">IFERROR(
    _xlfn.XLOOKUP(
        $A73,
        Table1[Location],
        INDEX(Table1[], , MATCH(N$1, Table1[#Headers], 0))
    ),
"")</f>
        <v>10079.860952930119</v>
      </c>
      <c r="O73" s="28">
        <f t="shared" si="15"/>
        <v>116882.14770227912</v>
      </c>
      <c r="Q73" s="28">
        <f t="shared" si="16"/>
        <v>0</v>
      </c>
      <c r="R73" s="28">
        <f t="shared" si="17"/>
        <v>0</v>
      </c>
      <c r="S73" s="28">
        <f t="shared" si="18"/>
        <v>0</v>
      </c>
      <c r="T73" s="28">
        <f t="shared" si="19"/>
        <v>0</v>
      </c>
      <c r="U73" s="28">
        <f t="shared" si="20"/>
        <v>50</v>
      </c>
      <c r="V73" s="28">
        <f t="shared" si="21"/>
        <v>75</v>
      </c>
      <c r="W73" s="28">
        <f t="shared" si="22"/>
        <v>0</v>
      </c>
      <c r="X73" s="28">
        <f t="shared" si="23"/>
        <v>283.99050308502319</v>
      </c>
      <c r="Y73" s="28">
        <f t="shared" si="24"/>
        <v>275.8502351644712</v>
      </c>
      <c r="Z73" s="28">
        <f t="shared" si="25"/>
        <v>200.9743350186944</v>
      </c>
      <c r="AA73" s="28">
        <f t="shared" si="26"/>
        <v>182.2077942253012</v>
      </c>
      <c r="AB73" s="28">
        <f t="shared" si="27"/>
        <v>100.79860952930119</v>
      </c>
      <c r="AC73" s="28">
        <f t="shared" si="28"/>
        <v>1168.8214770227914</v>
      </c>
    </row>
    <row r="74" spans="1:29" x14ac:dyDescent="0.3">
      <c r="A74" s="29" t="s">
        <v>155</v>
      </c>
      <c r="B74" s="32" t="str" cm="1">
        <f t="array" ref="B74">IFERROR(
    _xlfn.XLOOKUP(
        $A74,
        Table1[Location],
        INDEX(Table1[], , MATCH(B$1, Table1[#Headers], 0))
    ),
"")</f>
        <v>TBD</v>
      </c>
      <c r="C74" s="28" cm="1">
        <f t="array" ref="C74">IFERROR(
    _xlfn.XLOOKUP(
        $A74,
        Table1[Location],
        INDEX(Table1[], , MATCH(C$1, Table1[#Headers], 0))
    ),
"")</f>
        <v>0</v>
      </c>
      <c r="D74" s="28" cm="1">
        <f t="array" ref="D74">IFERROR(
    _xlfn.XLOOKUP(
        $A74,
        Table1[Location],
        INDEX(Table1[], , MATCH(D$1, Table1[#Headers], 0))
    ),
"")</f>
        <v>0</v>
      </c>
      <c r="E74" s="28" cm="1">
        <f t="array" ref="E74">IFERROR(
    _xlfn.XLOOKUP(
        $A74,
        Table1[Location],
        INDEX(Table1[], , MATCH(E$1, Table1[#Headers], 0))
    ),
"")</f>
        <v>0</v>
      </c>
      <c r="F74" s="28" cm="1">
        <f t="array" ref="F74">IFERROR(
    _xlfn.XLOOKUP(
        $A74,
        Table1[Location],
        INDEX(Table1[], , MATCH(F$1, Table1[#Headers], 0))
    ),
"")</f>
        <v>0</v>
      </c>
      <c r="G74" s="28" cm="1">
        <f t="array" ref="G74">IFERROR(
    _xlfn.XLOOKUP(
        $A74,
        Table1[Location],
        INDEX(Table1[], , MATCH(G$1, Table1[#Headers], 0))
    ),
"")</f>
        <v>5000</v>
      </c>
      <c r="H74" s="28" cm="1">
        <f t="array" ref="H74">IFERROR(
    _xlfn.XLOOKUP(
        $A74,
        Table1[Location],
        INDEX(Table1[], , MATCH(H$1, Table1[#Headers], 0))
    ),
"")</f>
        <v>7500</v>
      </c>
      <c r="I74" s="28" cm="1">
        <f t="array" ref="I74">IFERROR(
    _xlfn.XLOOKUP(
        $A74,
        Table1[Location],
        INDEX(Table1[], , MATCH(I$1, Table1[#Headers], 0))
    ),
"")</f>
        <v>63989.336300162649</v>
      </c>
      <c r="J74" s="28" cm="1">
        <f t="array" ref="J74">IFERROR(
    _xlfn.XLOOKUP(
        $A74,
        Table1[Location],
        INDEX(Table1[], , MATCH(J$1, Table1[#Headers], 0))
    ),
"")</f>
        <v>51401.722419584446</v>
      </c>
      <c r="K74" s="28" cm="1">
        <f t="array" ref="K74">IFERROR(
    _xlfn.XLOOKUP(
        $A74,
        Table1[Location],
        INDEX(Table1[], , MATCH(K$1, Table1[#Headers], 0))
    ),
"")</f>
        <v>26435.71819047485</v>
      </c>
      <c r="L74" s="28" cm="1">
        <f t="array" ref="L74">IFERROR(
    _xlfn.XLOOKUP(
        $A74,
        Table1[Location],
        INDEX(Table1[], , MATCH(L$1, Table1[#Headers], 0))
    ),
"")</f>
        <v>14594.541883350879</v>
      </c>
      <c r="M74" s="28" cm="1">
        <f t="array" ref="M74">IFERROR(
    _xlfn.XLOOKUP(
        $A74,
        Table1[Location],
        INDEX(Table1[], , MATCH(M$1, Table1[#Headers], 0))
    ),
"")</f>
        <v>19915.98264116254</v>
      </c>
      <c r="N74" s="28" cm="1">
        <f t="array" ref="N74">IFERROR(
    _xlfn.XLOOKUP(
        $A74,
        Table1[Location],
        INDEX(Table1[], , MATCH(N$1, Table1[#Headers], 0))
    ),
"")</f>
        <v>7324.4878618786024</v>
      </c>
      <c r="O74" s="28">
        <f t="shared" si="15"/>
        <v>196161.78929661395</v>
      </c>
      <c r="Q74" s="28">
        <f t="shared" si="16"/>
        <v>0</v>
      </c>
      <c r="R74" s="28">
        <f t="shared" si="17"/>
        <v>0</v>
      </c>
      <c r="S74" s="28">
        <f t="shared" si="18"/>
        <v>0</v>
      </c>
      <c r="T74" s="28">
        <f t="shared" si="19"/>
        <v>0</v>
      </c>
      <c r="U74" s="28">
        <f t="shared" si="20"/>
        <v>50</v>
      </c>
      <c r="V74" s="28">
        <f t="shared" si="21"/>
        <v>75</v>
      </c>
      <c r="W74" s="28">
        <f t="shared" si="22"/>
        <v>639.89336300162654</v>
      </c>
      <c r="X74" s="28">
        <f t="shared" si="23"/>
        <v>514.01722419584451</v>
      </c>
      <c r="Y74" s="28">
        <f t="shared" si="24"/>
        <v>264.35718190474853</v>
      </c>
      <c r="Z74" s="28">
        <f t="shared" si="25"/>
        <v>145.9454188335088</v>
      </c>
      <c r="AA74" s="28">
        <f t="shared" si="26"/>
        <v>199.1598264116254</v>
      </c>
      <c r="AB74" s="28">
        <f t="shared" si="27"/>
        <v>73.244878618786032</v>
      </c>
      <c r="AC74" s="28">
        <f t="shared" si="28"/>
        <v>1961.6178929661398</v>
      </c>
    </row>
    <row r="75" spans="1:29" x14ac:dyDescent="0.3">
      <c r="A75" s="29" t="s">
        <v>156</v>
      </c>
      <c r="B75" s="32" t="str" cm="1">
        <f t="array" ref="B75">IFERROR(
    _xlfn.XLOOKUP(
        $A75,
        Table1[Location],
        INDEX(Table1[], , MATCH(B$1, Table1[#Headers], 0))
    ),
"")</f>
        <v>TBD</v>
      </c>
      <c r="C75" s="28" cm="1">
        <f t="array" ref="C75">IFERROR(
    _xlfn.XLOOKUP(
        $A75,
        Table1[Location],
        INDEX(Table1[], , MATCH(C$1, Table1[#Headers], 0))
    ),
"")</f>
        <v>0</v>
      </c>
      <c r="D75" s="28" cm="1">
        <f t="array" ref="D75">IFERROR(
    _xlfn.XLOOKUP(
        $A75,
        Table1[Location],
        INDEX(Table1[], , MATCH(D$1, Table1[#Headers], 0))
    ),
"")</f>
        <v>0</v>
      </c>
      <c r="E75" s="28" cm="1">
        <f t="array" ref="E75">IFERROR(
    _xlfn.XLOOKUP(
        $A75,
        Table1[Location],
        INDEX(Table1[], , MATCH(E$1, Table1[#Headers], 0))
    ),
"")</f>
        <v>0</v>
      </c>
      <c r="F75" s="28" cm="1">
        <f t="array" ref="F75">IFERROR(
    _xlfn.XLOOKUP(
        $A75,
        Table1[Location],
        INDEX(Table1[], , MATCH(F$1, Table1[#Headers], 0))
    ),
"")</f>
        <v>0</v>
      </c>
      <c r="G75" s="28" cm="1">
        <f t="array" ref="G75">IFERROR(
    _xlfn.XLOOKUP(
        $A75,
        Table1[Location],
        INDEX(Table1[], , MATCH(G$1, Table1[#Headers], 0))
    ),
"")</f>
        <v>5000</v>
      </c>
      <c r="H75" s="28" cm="1">
        <f t="array" ref="H75">IFERROR(
    _xlfn.XLOOKUP(
        $A75,
        Table1[Location],
        INDEX(Table1[], , MATCH(H$1, Table1[#Headers], 0))
    ),
"")</f>
        <v>7500</v>
      </c>
      <c r="I75" s="28" cm="1">
        <f t="array" ref="I75">IFERROR(
    _xlfn.XLOOKUP(
        $A75,
        Table1[Location],
        INDEX(Table1[], , MATCH(I$1, Table1[#Headers], 0))
    ),
"")</f>
        <v>7500</v>
      </c>
      <c r="J75" s="28" cm="1">
        <f t="array" ref="J75">IFERROR(
    _xlfn.XLOOKUP(
        $A75,
        Table1[Location],
        INDEX(Table1[], , MATCH(J$1, Table1[#Headers], 0))
    ),
"")</f>
        <v>25000</v>
      </c>
      <c r="K75" s="28" cm="1">
        <f t="array" ref="K75">IFERROR(
    _xlfn.XLOOKUP(
        $A75,
        Table1[Location],
        INDEX(Table1[], , MATCH(K$1, Table1[#Headers], 0))
    ),
"")</f>
        <v>25848.119431526789</v>
      </c>
      <c r="L75" s="28" cm="1">
        <f t="array" ref="L75">IFERROR(
    _xlfn.XLOOKUP(
        $A75,
        Table1[Location],
        INDEX(Table1[], , MATCH(L$1, Table1[#Headers], 0))
    ),
"")</f>
        <v>24488.795375255741</v>
      </c>
      <c r="M75" s="28" cm="1">
        <f t="array" ref="M75">IFERROR(
    _xlfn.XLOOKUP(
        $A75,
        Table1[Location],
        INDEX(Table1[], , MATCH(M$1, Table1[#Headers], 0))
    ),
"")</f>
        <v>17244.75229068581</v>
      </c>
      <c r="N75" s="28" cm="1">
        <f t="array" ref="N75">IFERROR(
    _xlfn.XLOOKUP(
        $A75,
        Table1[Location],
        INDEX(Table1[], , MATCH(N$1, Table1[#Headers], 0))
    ),
"")</f>
        <v>8906.5415425987376</v>
      </c>
      <c r="O75" s="28">
        <f t="shared" si="15"/>
        <v>121488.20864006708</v>
      </c>
      <c r="Q75" s="28">
        <f t="shared" si="16"/>
        <v>0</v>
      </c>
      <c r="R75" s="28">
        <f t="shared" si="17"/>
        <v>0</v>
      </c>
      <c r="S75" s="28">
        <f t="shared" si="18"/>
        <v>0</v>
      </c>
      <c r="T75" s="28">
        <f t="shared" si="19"/>
        <v>0</v>
      </c>
      <c r="U75" s="28">
        <f t="shared" si="20"/>
        <v>50</v>
      </c>
      <c r="V75" s="28">
        <f t="shared" si="21"/>
        <v>75</v>
      </c>
      <c r="W75" s="28">
        <f t="shared" si="22"/>
        <v>75</v>
      </c>
      <c r="X75" s="28">
        <f t="shared" si="23"/>
        <v>250</v>
      </c>
      <c r="Y75" s="28">
        <f t="shared" si="24"/>
        <v>258.48119431526789</v>
      </c>
      <c r="Z75" s="28">
        <f t="shared" si="25"/>
        <v>244.88795375255742</v>
      </c>
      <c r="AA75" s="28">
        <f t="shared" si="26"/>
        <v>172.4475229068581</v>
      </c>
      <c r="AB75" s="28">
        <f t="shared" si="27"/>
        <v>89.065415425987382</v>
      </c>
      <c r="AC75" s="28">
        <f t="shared" si="28"/>
        <v>1214.8820864006707</v>
      </c>
    </row>
    <row r="76" spans="1:29" x14ac:dyDescent="0.3">
      <c r="A76" s="29" t="s">
        <v>157</v>
      </c>
      <c r="B76" s="32" t="str" cm="1">
        <f t="array" ref="B76">IFERROR(
    _xlfn.XLOOKUP(
        $A76,
        Table1[Location],
        INDEX(Table1[], , MATCH(B$1, Table1[#Headers], 0))
    ),
"")</f>
        <v>TBD</v>
      </c>
      <c r="C76" s="28" cm="1">
        <f t="array" ref="C76">IFERROR(
    _xlfn.XLOOKUP(
        $A76,
        Table1[Location],
        INDEX(Table1[], , MATCH(C$1, Table1[#Headers], 0))
    ),
"")</f>
        <v>0</v>
      </c>
      <c r="D76" s="28" cm="1">
        <f t="array" ref="D76">IFERROR(
    _xlfn.XLOOKUP(
        $A76,
        Table1[Location],
        INDEX(Table1[], , MATCH(D$1, Table1[#Headers], 0))
    ),
"")</f>
        <v>0</v>
      </c>
      <c r="E76" s="28" cm="1">
        <f t="array" ref="E76">IFERROR(
    _xlfn.XLOOKUP(
        $A76,
        Table1[Location],
        INDEX(Table1[], , MATCH(E$1, Table1[#Headers], 0))
    ),
"")</f>
        <v>0</v>
      </c>
      <c r="F76" s="28" cm="1">
        <f t="array" ref="F76">IFERROR(
    _xlfn.XLOOKUP(
        $A76,
        Table1[Location],
        INDEX(Table1[], , MATCH(F$1, Table1[#Headers], 0))
    ),
"")</f>
        <v>0</v>
      </c>
      <c r="G76" s="28" cm="1">
        <f t="array" ref="G76">IFERROR(
    _xlfn.XLOOKUP(
        $A76,
        Table1[Location],
        INDEX(Table1[], , MATCH(G$1, Table1[#Headers], 0))
    ),
"")</f>
        <v>0</v>
      </c>
      <c r="H76" s="28" cm="1">
        <f t="array" ref="H76">IFERROR(
    _xlfn.XLOOKUP(
        $A76,
        Table1[Location],
        INDEX(Table1[], , MATCH(H$1, Table1[#Headers], 0))
    ),
"")</f>
        <v>5000</v>
      </c>
      <c r="I76" s="28" cm="1">
        <f t="array" ref="I76">IFERROR(
    _xlfn.XLOOKUP(
        $A76,
        Table1[Location],
        INDEX(Table1[], , MATCH(I$1, Table1[#Headers], 0))
    ),
"")</f>
        <v>7500</v>
      </c>
      <c r="J76" s="28" cm="1">
        <f t="array" ref="J76">IFERROR(
    _xlfn.XLOOKUP(
        $A76,
        Table1[Location],
        INDEX(Table1[], , MATCH(J$1, Table1[#Headers], 0))
    ),
"")</f>
        <v>25000</v>
      </c>
      <c r="K76" s="28" cm="1">
        <f t="array" ref="K76">IFERROR(
    _xlfn.XLOOKUP(
        $A76,
        Table1[Location],
        INDEX(Table1[], , MATCH(K$1, Table1[#Headers], 0))
    ),
"")</f>
        <v>24958.81870395942</v>
      </c>
      <c r="L76" s="28" cm="1">
        <f t="array" ref="L76">IFERROR(
    _xlfn.XLOOKUP(
        $A76,
        Table1[Location],
        INDEX(Table1[], , MATCH(L$1, Table1[#Headers], 0))
    ),
"")</f>
        <v>21709.95191797812</v>
      </c>
      <c r="M76" s="28" cm="1">
        <f t="array" ref="M76">IFERROR(
    _xlfn.XLOOKUP(
        $A76,
        Table1[Location],
        INDEX(Table1[], , MATCH(M$1, Table1[#Headers], 0))
    ),
"")</f>
        <v>17003.830794188281</v>
      </c>
      <c r="N76" s="28" cm="1">
        <f t="array" ref="N76">IFERROR(
    _xlfn.XLOOKUP(
        $A76,
        Table1[Location],
        INDEX(Table1[], , MATCH(N$1, Table1[#Headers], 0))
    ),
"")</f>
        <v>7439.4536150115628</v>
      </c>
      <c r="O76" s="28">
        <f t="shared" si="15"/>
        <v>108612.05503113738</v>
      </c>
      <c r="Q76" s="28">
        <f t="shared" si="16"/>
        <v>0</v>
      </c>
      <c r="R76" s="28">
        <f t="shared" si="17"/>
        <v>0</v>
      </c>
      <c r="S76" s="28">
        <f t="shared" si="18"/>
        <v>0</v>
      </c>
      <c r="T76" s="28">
        <f t="shared" si="19"/>
        <v>0</v>
      </c>
      <c r="U76" s="28">
        <f t="shared" si="20"/>
        <v>0</v>
      </c>
      <c r="V76" s="28">
        <f t="shared" si="21"/>
        <v>50</v>
      </c>
      <c r="W76" s="28">
        <f t="shared" si="22"/>
        <v>75</v>
      </c>
      <c r="X76" s="28">
        <f t="shared" si="23"/>
        <v>250</v>
      </c>
      <c r="Y76" s="28">
        <f t="shared" si="24"/>
        <v>249.5881870395942</v>
      </c>
      <c r="Z76" s="28">
        <f t="shared" si="25"/>
        <v>217.0995191797812</v>
      </c>
      <c r="AA76" s="28">
        <f t="shared" si="26"/>
        <v>170.03830794188281</v>
      </c>
      <c r="AB76" s="28">
        <f t="shared" si="27"/>
        <v>74.394536150115627</v>
      </c>
      <c r="AC76" s="28">
        <f t="shared" si="28"/>
        <v>1086.1205503113738</v>
      </c>
    </row>
    <row r="77" spans="1:29" x14ac:dyDescent="0.3">
      <c r="A77" s="29" t="s">
        <v>158</v>
      </c>
      <c r="B77" s="32" t="str" cm="1">
        <f t="array" ref="B77">IFERROR(
    _xlfn.XLOOKUP(
        $A77,
        Table1[Location],
        INDEX(Table1[], , MATCH(B$1, Table1[#Headers], 0))
    ),
"")</f>
        <v>TBD</v>
      </c>
      <c r="C77" s="28" cm="1">
        <f t="array" ref="C77">IFERROR(
    _xlfn.XLOOKUP(
        $A77,
        Table1[Location],
        INDEX(Table1[], , MATCH(C$1, Table1[#Headers], 0))
    ),
"")</f>
        <v>0</v>
      </c>
      <c r="D77" s="28" cm="1">
        <f t="array" ref="D77">IFERROR(
    _xlfn.XLOOKUP(
        $A77,
        Table1[Location],
        INDEX(Table1[], , MATCH(D$1, Table1[#Headers], 0))
    ),
"")</f>
        <v>0</v>
      </c>
      <c r="E77" s="28" cm="1">
        <f t="array" ref="E77">IFERROR(
    _xlfn.XLOOKUP(
        $A77,
        Table1[Location],
        INDEX(Table1[], , MATCH(E$1, Table1[#Headers], 0))
    ),
"")</f>
        <v>0</v>
      </c>
      <c r="F77" s="28" cm="1">
        <f t="array" ref="F77">IFERROR(
    _xlfn.XLOOKUP(
        $A77,
        Table1[Location],
        INDEX(Table1[], , MATCH(F$1, Table1[#Headers], 0))
    ),
"")</f>
        <v>0</v>
      </c>
      <c r="G77" s="28" cm="1">
        <f t="array" ref="G77">IFERROR(
    _xlfn.XLOOKUP(
        $A77,
        Table1[Location],
        INDEX(Table1[], , MATCH(G$1, Table1[#Headers], 0))
    ),
"")</f>
        <v>0</v>
      </c>
      <c r="H77" s="28" cm="1">
        <f t="array" ref="H77">IFERROR(
    _xlfn.XLOOKUP(
        $A77,
        Table1[Location],
        INDEX(Table1[], , MATCH(H$1, Table1[#Headers], 0))
    ),
"")</f>
        <v>5000</v>
      </c>
      <c r="I77" s="28" cm="1">
        <f t="array" ref="I77">IFERROR(
    _xlfn.XLOOKUP(
        $A77,
        Table1[Location],
        INDEX(Table1[], , MATCH(I$1, Table1[#Headers], 0))
    ),
"")</f>
        <v>7500</v>
      </c>
      <c r="J77" s="28" cm="1">
        <f t="array" ref="J77">IFERROR(
    _xlfn.XLOOKUP(
        $A77,
        Table1[Location],
        INDEX(Table1[], , MATCH(J$1, Table1[#Headers], 0))
    ),
"")</f>
        <v>25000</v>
      </c>
      <c r="K77" s="28" cm="1">
        <f t="array" ref="K77">IFERROR(
    _xlfn.XLOOKUP(
        $A77,
        Table1[Location],
        INDEX(Table1[], , MATCH(K$1, Table1[#Headers], 0))
    ),
"")</f>
        <v>15264</v>
      </c>
      <c r="L77" s="28" cm="1">
        <f t="array" ref="L77">IFERROR(
    _xlfn.XLOOKUP(
        $A77,
        Table1[Location],
        INDEX(Table1[], , MATCH(L$1, Table1[#Headers], 0))
    ),
"")</f>
        <v>13589.95096328639</v>
      </c>
      <c r="M77" s="28" cm="1">
        <f t="array" ref="M77">IFERROR(
    _xlfn.XLOOKUP(
        $A77,
        Table1[Location],
        INDEX(Table1[], , MATCH(M$1, Table1[#Headers], 0))
    ),
"")</f>
        <v>22433.158796967589</v>
      </c>
      <c r="N77" s="28" cm="1">
        <f t="array" ref="N77">IFERROR(
    _xlfn.XLOOKUP(
        $A77,
        Table1[Location],
        INDEX(Table1[], , MATCH(N$1, Table1[#Headers], 0))
    ),
"")</f>
        <v>7829.4051637251941</v>
      </c>
      <c r="O77" s="28">
        <f t="shared" si="15"/>
        <v>96616.514923979179</v>
      </c>
      <c r="Q77" s="28">
        <f t="shared" si="16"/>
        <v>0</v>
      </c>
      <c r="R77" s="28">
        <f t="shared" si="17"/>
        <v>0</v>
      </c>
      <c r="S77" s="28">
        <f t="shared" si="18"/>
        <v>0</v>
      </c>
      <c r="T77" s="28">
        <f t="shared" si="19"/>
        <v>0</v>
      </c>
      <c r="U77" s="28">
        <f t="shared" si="20"/>
        <v>0</v>
      </c>
      <c r="V77" s="28">
        <f t="shared" si="21"/>
        <v>50</v>
      </c>
      <c r="W77" s="28">
        <f t="shared" si="22"/>
        <v>75</v>
      </c>
      <c r="X77" s="28">
        <f t="shared" si="23"/>
        <v>250</v>
      </c>
      <c r="Y77" s="28">
        <f t="shared" si="24"/>
        <v>152.64000000000001</v>
      </c>
      <c r="Z77" s="28">
        <f t="shared" si="25"/>
        <v>135.8995096328639</v>
      </c>
      <c r="AA77" s="28">
        <f t="shared" si="26"/>
        <v>224.33158796967589</v>
      </c>
      <c r="AB77" s="28">
        <f t="shared" si="27"/>
        <v>78.29405163725194</v>
      </c>
      <c r="AC77" s="28">
        <f t="shared" si="28"/>
        <v>966.16514923979173</v>
      </c>
    </row>
    <row r="78" spans="1:29" x14ac:dyDescent="0.3">
      <c r="A78" s="29" t="s">
        <v>159</v>
      </c>
      <c r="B78" s="32" t="str" cm="1">
        <f t="array" ref="B78">IFERROR(
    _xlfn.XLOOKUP(
        $A78,
        Table1[Location],
        INDEX(Table1[], , MATCH(B$1, Table1[#Headers], 0))
    ),
"")</f>
        <v>TBD</v>
      </c>
      <c r="C78" s="28" cm="1">
        <f t="array" ref="C78">IFERROR(
    _xlfn.XLOOKUP(
        $A78,
        Table1[Location],
        INDEX(Table1[], , MATCH(C$1, Table1[#Headers], 0))
    ),
"")</f>
        <v>0</v>
      </c>
      <c r="D78" s="28" cm="1">
        <f t="array" ref="D78">IFERROR(
    _xlfn.XLOOKUP(
        $A78,
        Table1[Location],
        INDEX(Table1[], , MATCH(D$1, Table1[#Headers], 0))
    ),
"")</f>
        <v>0</v>
      </c>
      <c r="E78" s="28" cm="1">
        <f t="array" ref="E78">IFERROR(
    _xlfn.XLOOKUP(
        $A78,
        Table1[Location],
        INDEX(Table1[], , MATCH(E$1, Table1[#Headers], 0))
    ),
"")</f>
        <v>0</v>
      </c>
      <c r="F78" s="28" cm="1">
        <f t="array" ref="F78">IFERROR(
    _xlfn.XLOOKUP(
        $A78,
        Table1[Location],
        INDEX(Table1[], , MATCH(F$1, Table1[#Headers], 0))
    ),
"")</f>
        <v>0</v>
      </c>
      <c r="G78" s="28" cm="1">
        <f t="array" ref="G78">IFERROR(
    _xlfn.XLOOKUP(
        $A78,
        Table1[Location],
        INDEX(Table1[], , MATCH(G$1, Table1[#Headers], 0))
    ),
"")</f>
        <v>0</v>
      </c>
      <c r="H78" s="28" cm="1">
        <f t="array" ref="H78">IFERROR(
    _xlfn.XLOOKUP(
        $A78,
        Table1[Location],
        INDEX(Table1[], , MATCH(H$1, Table1[#Headers], 0))
    ),
"")</f>
        <v>5000</v>
      </c>
      <c r="I78" s="28" cm="1">
        <f t="array" ref="I78">IFERROR(
    _xlfn.XLOOKUP(
        $A78,
        Table1[Location],
        INDEX(Table1[], , MATCH(I$1, Table1[#Headers], 0))
    ),
"")</f>
        <v>7500</v>
      </c>
      <c r="J78" s="28" cm="1">
        <f t="array" ref="J78">IFERROR(
    _xlfn.XLOOKUP(
        $A78,
        Table1[Location],
        INDEX(Table1[], , MATCH(J$1, Table1[#Headers], 0))
    ),
"")</f>
        <v>25000</v>
      </c>
      <c r="K78" s="28" cm="1">
        <f t="array" ref="K78">IFERROR(
    _xlfn.XLOOKUP(
        $A78,
        Table1[Location],
        INDEX(Table1[], , MATCH(K$1, Table1[#Headers], 0))
    ),
"")</f>
        <v>12163</v>
      </c>
      <c r="L78" s="28" cm="1">
        <f t="array" ref="L78">IFERROR(
    _xlfn.XLOOKUP(
        $A78,
        Table1[Location],
        INDEX(Table1[], , MATCH(L$1, Table1[#Headers], 0))
    ),
"")</f>
        <v>26691.149998758508</v>
      </c>
      <c r="M78" s="28" cm="1">
        <f t="array" ref="M78">IFERROR(
    _xlfn.XLOOKUP(
        $A78,
        Table1[Location],
        INDEX(Table1[], , MATCH(M$1, Table1[#Headers], 0))
    ),
"")</f>
        <v>17703.16914328633</v>
      </c>
      <c r="N78" s="28" cm="1">
        <f t="array" ref="N78">IFERROR(
    _xlfn.XLOOKUP(
        $A78,
        Table1[Location],
        INDEX(Table1[], , MATCH(N$1, Table1[#Headers], 0))
    ),
"")</f>
        <v>10655.10743788437</v>
      </c>
      <c r="O78" s="28">
        <f t="shared" si="15"/>
        <v>104712.42657992922</v>
      </c>
      <c r="Q78" s="28">
        <f t="shared" si="16"/>
        <v>0</v>
      </c>
      <c r="R78" s="28">
        <f t="shared" si="17"/>
        <v>0</v>
      </c>
      <c r="S78" s="28">
        <f t="shared" si="18"/>
        <v>0</v>
      </c>
      <c r="T78" s="28">
        <f t="shared" si="19"/>
        <v>0</v>
      </c>
      <c r="U78" s="28">
        <f t="shared" si="20"/>
        <v>0</v>
      </c>
      <c r="V78" s="28">
        <f t="shared" si="21"/>
        <v>50</v>
      </c>
      <c r="W78" s="28">
        <f t="shared" si="22"/>
        <v>75</v>
      </c>
      <c r="X78" s="28">
        <f t="shared" si="23"/>
        <v>250</v>
      </c>
      <c r="Y78" s="28">
        <f t="shared" si="24"/>
        <v>121.63</v>
      </c>
      <c r="Z78" s="28">
        <f t="shared" si="25"/>
        <v>266.9114999875851</v>
      </c>
      <c r="AA78" s="28">
        <f t="shared" si="26"/>
        <v>177.03169143286331</v>
      </c>
      <c r="AB78" s="28">
        <f t="shared" si="27"/>
        <v>106.55107437884369</v>
      </c>
      <c r="AC78" s="28">
        <f t="shared" si="28"/>
        <v>1047.1242657992921</v>
      </c>
    </row>
    <row r="79" spans="1:29" x14ac:dyDescent="0.3">
      <c r="A79" s="29" t="s">
        <v>160</v>
      </c>
      <c r="B79" s="32" t="str" cm="1">
        <f t="array" ref="B79">IFERROR(
    _xlfn.XLOOKUP(
        $A79,
        Table1[Location],
        INDEX(Table1[], , MATCH(B$1, Table1[#Headers], 0))
    ),
"")</f>
        <v>TBD</v>
      </c>
      <c r="C79" s="28" cm="1">
        <f t="array" ref="C79">IFERROR(
    _xlfn.XLOOKUP(
        $A79,
        Table1[Location],
        INDEX(Table1[], , MATCH(C$1, Table1[#Headers], 0))
    ),
"")</f>
        <v>0</v>
      </c>
      <c r="D79" s="28" cm="1">
        <f t="array" ref="D79">IFERROR(
    _xlfn.XLOOKUP(
        $A79,
        Table1[Location],
        INDEX(Table1[], , MATCH(D$1, Table1[#Headers], 0))
    ),
"")</f>
        <v>0</v>
      </c>
      <c r="E79" s="28" cm="1">
        <f t="array" ref="E79">IFERROR(
    _xlfn.XLOOKUP(
        $A79,
        Table1[Location],
        INDEX(Table1[], , MATCH(E$1, Table1[#Headers], 0))
    ),
"")</f>
        <v>0</v>
      </c>
      <c r="F79" s="28" cm="1">
        <f t="array" ref="F79">IFERROR(
    _xlfn.XLOOKUP(
        $A79,
        Table1[Location],
        INDEX(Table1[], , MATCH(F$1, Table1[#Headers], 0))
    ),
"")</f>
        <v>0</v>
      </c>
      <c r="G79" s="28" cm="1">
        <f t="array" ref="G79">IFERROR(
    _xlfn.XLOOKUP(
        $A79,
        Table1[Location],
        INDEX(Table1[], , MATCH(G$1, Table1[#Headers], 0))
    ),
"")</f>
        <v>0</v>
      </c>
      <c r="H79" s="28" cm="1">
        <f t="array" ref="H79">IFERROR(
    _xlfn.XLOOKUP(
        $A79,
        Table1[Location],
        INDEX(Table1[], , MATCH(H$1, Table1[#Headers], 0))
    ),
"")</f>
        <v>5000</v>
      </c>
      <c r="I79" s="28" cm="1">
        <f t="array" ref="I79">IFERROR(
    _xlfn.XLOOKUP(
        $A79,
        Table1[Location],
        INDEX(Table1[], , MATCH(I$1, Table1[#Headers], 0))
    ),
"")</f>
        <v>7500</v>
      </c>
      <c r="J79" s="28" cm="1">
        <f t="array" ref="J79">IFERROR(
    _xlfn.XLOOKUP(
        $A79,
        Table1[Location],
        INDEX(Table1[], , MATCH(J$1, Table1[#Headers], 0))
    ),
"")</f>
        <v>25000</v>
      </c>
      <c r="K79" s="28" cm="1">
        <f t="array" ref="K79">IFERROR(
    _xlfn.XLOOKUP(
        $A79,
        Table1[Location],
        INDEX(Table1[], , MATCH(K$1, Table1[#Headers], 0))
    ),
"")</f>
        <v>22654</v>
      </c>
      <c r="L79" s="28" cm="1">
        <f t="array" ref="L79">IFERROR(
    _xlfn.XLOOKUP(
        $A79,
        Table1[Location],
        INDEX(Table1[], , MATCH(L$1, Table1[#Headers], 0))
    ),
"")</f>
        <v>25148.306944937649</v>
      </c>
      <c r="M79" s="28" cm="1">
        <f t="array" ref="M79">IFERROR(
    _xlfn.XLOOKUP(
        $A79,
        Table1[Location],
        INDEX(Table1[], , MATCH(M$1, Table1[#Headers], 0))
    ),
"")</f>
        <v>17611.505653184289</v>
      </c>
      <c r="N79" s="28" cm="1">
        <f t="array" ref="N79">IFERROR(
    _xlfn.XLOOKUP(
        $A79,
        Table1[Location],
        INDEX(Table1[], , MATCH(N$1, Table1[#Headers], 0))
    ),
"")</f>
        <v>7060.5220044377566</v>
      </c>
      <c r="O79" s="28">
        <f t="shared" si="15"/>
        <v>109974.33460255968</v>
      </c>
      <c r="Q79" s="28">
        <f t="shared" si="16"/>
        <v>0</v>
      </c>
      <c r="R79" s="28">
        <f t="shared" si="17"/>
        <v>0</v>
      </c>
      <c r="S79" s="28">
        <f t="shared" si="18"/>
        <v>0</v>
      </c>
      <c r="T79" s="28">
        <f t="shared" si="19"/>
        <v>0</v>
      </c>
      <c r="U79" s="28">
        <f t="shared" si="20"/>
        <v>0</v>
      </c>
      <c r="V79" s="28">
        <f t="shared" si="21"/>
        <v>50</v>
      </c>
      <c r="W79" s="28">
        <f t="shared" si="22"/>
        <v>75</v>
      </c>
      <c r="X79" s="28">
        <f t="shared" si="23"/>
        <v>250</v>
      </c>
      <c r="Y79" s="28">
        <f t="shared" si="24"/>
        <v>226.54</v>
      </c>
      <c r="Z79" s="28">
        <f t="shared" si="25"/>
        <v>251.4830694493765</v>
      </c>
      <c r="AA79" s="28">
        <f t="shared" si="26"/>
        <v>176.1150565318429</v>
      </c>
      <c r="AB79" s="28">
        <f t="shared" si="27"/>
        <v>70.60522004437756</v>
      </c>
      <c r="AC79" s="28">
        <f t="shared" si="28"/>
        <v>1099.7433460255968</v>
      </c>
    </row>
    <row r="80" spans="1:29" x14ac:dyDescent="0.3">
      <c r="A80" s="29" t="s">
        <v>161</v>
      </c>
      <c r="B80" s="32" t="str" cm="1">
        <f t="array" ref="B80">IFERROR(
    _xlfn.XLOOKUP(
        $A80,
        Table1[Location],
        INDEX(Table1[], , MATCH(B$1, Table1[#Headers], 0))
    ),
"")</f>
        <v>TBD</v>
      </c>
      <c r="C80" s="28" cm="1">
        <f t="array" ref="C80">IFERROR(
    _xlfn.XLOOKUP(
        $A80,
        Table1[Location],
        INDEX(Table1[], , MATCH(C$1, Table1[#Headers], 0))
    ),
"")</f>
        <v>0</v>
      </c>
      <c r="D80" s="28" cm="1">
        <f t="array" ref="D80">IFERROR(
    _xlfn.XLOOKUP(
        $A80,
        Table1[Location],
        INDEX(Table1[], , MATCH(D$1, Table1[#Headers], 0))
    ),
"")</f>
        <v>0</v>
      </c>
      <c r="E80" s="28" cm="1">
        <f t="array" ref="E80">IFERROR(
    _xlfn.XLOOKUP(
        $A80,
        Table1[Location],
        INDEX(Table1[], , MATCH(E$1, Table1[#Headers], 0))
    ),
"")</f>
        <v>0</v>
      </c>
      <c r="F80" s="28" cm="1">
        <f t="array" ref="F80">IFERROR(
    _xlfn.XLOOKUP(
        $A80,
        Table1[Location],
        INDEX(Table1[], , MATCH(F$1, Table1[#Headers], 0))
    ),
"")</f>
        <v>0</v>
      </c>
      <c r="G80" s="28" cm="1">
        <f t="array" ref="G80">IFERROR(
    _xlfn.XLOOKUP(
        $A80,
        Table1[Location],
        INDEX(Table1[], , MATCH(G$1, Table1[#Headers], 0))
    ),
"")</f>
        <v>0</v>
      </c>
      <c r="H80" s="28" cm="1">
        <f t="array" ref="H80">IFERROR(
    _xlfn.XLOOKUP(
        $A80,
        Table1[Location],
        INDEX(Table1[], , MATCH(H$1, Table1[#Headers], 0))
    ),
"")</f>
        <v>0</v>
      </c>
      <c r="I80" s="28" cm="1">
        <f t="array" ref="I80">IFERROR(
    _xlfn.XLOOKUP(
        $A80,
        Table1[Location],
        INDEX(Table1[], , MATCH(I$1, Table1[#Headers], 0))
    ),
"")</f>
        <v>5000</v>
      </c>
      <c r="J80" s="28" cm="1">
        <f t="array" ref="J80">IFERROR(
    _xlfn.XLOOKUP(
        $A80,
        Table1[Location],
        INDEX(Table1[], , MATCH(J$1, Table1[#Headers], 0))
    ),
"")</f>
        <v>7500</v>
      </c>
      <c r="K80" s="28" cm="1">
        <f t="array" ref="K80">IFERROR(
    _xlfn.XLOOKUP(
        $A80,
        Table1[Location],
        INDEX(Table1[], , MATCH(K$1, Table1[#Headers], 0))
    ),
"")</f>
        <v>25000</v>
      </c>
      <c r="L80" s="28" cm="1">
        <f t="array" ref="L80">IFERROR(
    _xlfn.XLOOKUP(
        $A80,
        Table1[Location],
        INDEX(Table1[], , MATCH(L$1, Table1[#Headers], 0))
    ),
"")</f>
        <v>13666.17182953412</v>
      </c>
      <c r="M80" s="28" cm="1">
        <f t="array" ref="M80">IFERROR(
    _xlfn.XLOOKUP(
        $A80,
        Table1[Location],
        INDEX(Table1[], , MATCH(M$1, Table1[#Headers], 0))
    ),
"")</f>
        <v>15251.93025620689</v>
      </c>
      <c r="N80" s="28" cm="1">
        <f t="array" ref="N80">IFERROR(
    _xlfn.XLOOKUP(
        $A80,
        Table1[Location],
        INDEX(Table1[], , MATCH(N$1, Table1[#Headers], 0))
    ),
"")</f>
        <v>12886.188894078179</v>
      </c>
      <c r="O80" s="28">
        <f t="shared" si="15"/>
        <v>79304.290979819183</v>
      </c>
      <c r="Q80" s="28">
        <f t="shared" si="16"/>
        <v>0</v>
      </c>
      <c r="R80" s="28">
        <f t="shared" si="17"/>
        <v>0</v>
      </c>
      <c r="S80" s="28">
        <f t="shared" si="18"/>
        <v>0</v>
      </c>
      <c r="T80" s="28">
        <f t="shared" si="19"/>
        <v>0</v>
      </c>
      <c r="U80" s="28">
        <f t="shared" si="20"/>
        <v>0</v>
      </c>
      <c r="V80" s="28">
        <f t="shared" si="21"/>
        <v>0</v>
      </c>
      <c r="W80" s="28">
        <f t="shared" si="22"/>
        <v>50</v>
      </c>
      <c r="X80" s="28">
        <f t="shared" si="23"/>
        <v>75</v>
      </c>
      <c r="Y80" s="28">
        <f t="shared" si="24"/>
        <v>250</v>
      </c>
      <c r="Z80" s="28">
        <f t="shared" si="25"/>
        <v>136.66171829534119</v>
      </c>
      <c r="AA80" s="28">
        <f t="shared" si="26"/>
        <v>152.5193025620689</v>
      </c>
      <c r="AB80" s="28">
        <f t="shared" si="27"/>
        <v>128.8618889407818</v>
      </c>
      <c r="AC80" s="28">
        <f t="shared" si="28"/>
        <v>793.04290979819189</v>
      </c>
    </row>
    <row r="81" spans="1:29" x14ac:dyDescent="0.3">
      <c r="A81" s="29" t="s">
        <v>162</v>
      </c>
      <c r="B81" s="32" t="str" cm="1">
        <f t="array" ref="B81">IFERROR(
    _xlfn.XLOOKUP(
        $A81,
        Table1[Location],
        INDEX(Table1[], , MATCH(B$1, Table1[#Headers], 0))
    ),
"")</f>
        <v>TBD</v>
      </c>
      <c r="C81" s="28" cm="1">
        <f t="array" ref="C81">IFERROR(
    _xlfn.XLOOKUP(
        $A81,
        Table1[Location],
        INDEX(Table1[], , MATCH(C$1, Table1[#Headers], 0))
    ),
"")</f>
        <v>0</v>
      </c>
      <c r="D81" s="28" cm="1">
        <f t="array" ref="D81">IFERROR(
    _xlfn.XLOOKUP(
        $A81,
        Table1[Location],
        INDEX(Table1[], , MATCH(D$1, Table1[#Headers], 0))
    ),
"")</f>
        <v>0</v>
      </c>
      <c r="E81" s="28" cm="1">
        <f t="array" ref="E81">IFERROR(
    _xlfn.XLOOKUP(
        $A81,
        Table1[Location],
        INDEX(Table1[], , MATCH(E$1, Table1[#Headers], 0))
    ),
"")</f>
        <v>0</v>
      </c>
      <c r="F81" s="28" cm="1">
        <f t="array" ref="F81">IFERROR(
    _xlfn.XLOOKUP(
        $A81,
        Table1[Location],
        INDEX(Table1[], , MATCH(F$1, Table1[#Headers], 0))
    ),
"")</f>
        <v>0</v>
      </c>
      <c r="G81" s="28" cm="1">
        <f t="array" ref="G81">IFERROR(
    _xlfn.XLOOKUP(
        $A81,
        Table1[Location],
        INDEX(Table1[], , MATCH(G$1, Table1[#Headers], 0))
    ),
"")</f>
        <v>0</v>
      </c>
      <c r="H81" s="28" cm="1">
        <f t="array" ref="H81">IFERROR(
    _xlfn.XLOOKUP(
        $A81,
        Table1[Location],
        INDEX(Table1[], , MATCH(H$1, Table1[#Headers], 0))
    ),
"")</f>
        <v>0</v>
      </c>
      <c r="I81" s="28" cm="1">
        <f t="array" ref="I81">IFERROR(
    _xlfn.XLOOKUP(
        $A81,
        Table1[Location],
        INDEX(Table1[], , MATCH(I$1, Table1[#Headers], 0))
    ),
"")</f>
        <v>5000</v>
      </c>
      <c r="J81" s="28" cm="1">
        <f t="array" ref="J81">IFERROR(
    _xlfn.XLOOKUP(
        $A81,
        Table1[Location],
        INDEX(Table1[], , MATCH(J$1, Table1[#Headers], 0))
    ),
"")</f>
        <v>7500</v>
      </c>
      <c r="K81" s="28" cm="1">
        <f t="array" ref="K81">IFERROR(
    _xlfn.XLOOKUP(
        $A81,
        Table1[Location],
        INDEX(Table1[], , MATCH(K$1, Table1[#Headers], 0))
    ),
"")</f>
        <v>25000</v>
      </c>
      <c r="L81" s="28" cm="1">
        <f t="array" ref="L81">IFERROR(
    _xlfn.XLOOKUP(
        $A81,
        Table1[Location],
        INDEX(Table1[], , MATCH(L$1, Table1[#Headers], 0))
    ),
"")</f>
        <v>13029.663100917131</v>
      </c>
      <c r="M81" s="28" cm="1">
        <f t="array" ref="M81">IFERROR(
    _xlfn.XLOOKUP(
        $A81,
        Table1[Location],
        INDEX(Table1[], , MATCH(M$1, Table1[#Headers], 0))
    ),
"")</f>
        <v>21078.315016029061</v>
      </c>
      <c r="N81" s="28" cm="1">
        <f t="array" ref="N81">IFERROR(
    _xlfn.XLOOKUP(
        $A81,
        Table1[Location],
        INDEX(Table1[], , MATCH(N$1, Table1[#Headers], 0))
    ),
"")</f>
        <v>12774.917664955959</v>
      </c>
      <c r="O81" s="28">
        <f t="shared" si="15"/>
        <v>84382.89578190216</v>
      </c>
      <c r="Q81" s="28">
        <f t="shared" si="16"/>
        <v>0</v>
      </c>
      <c r="R81" s="28">
        <f t="shared" si="17"/>
        <v>0</v>
      </c>
      <c r="S81" s="28">
        <f t="shared" si="18"/>
        <v>0</v>
      </c>
      <c r="T81" s="28">
        <f t="shared" si="19"/>
        <v>0</v>
      </c>
      <c r="U81" s="28">
        <f t="shared" si="20"/>
        <v>0</v>
      </c>
      <c r="V81" s="28">
        <f t="shared" si="21"/>
        <v>0</v>
      </c>
      <c r="W81" s="28">
        <f t="shared" si="22"/>
        <v>50</v>
      </c>
      <c r="X81" s="28">
        <f t="shared" si="23"/>
        <v>75</v>
      </c>
      <c r="Y81" s="28">
        <f t="shared" si="24"/>
        <v>250</v>
      </c>
      <c r="Z81" s="28">
        <f t="shared" si="25"/>
        <v>130.29663100917131</v>
      </c>
      <c r="AA81" s="28">
        <f t="shared" si="26"/>
        <v>210.7831501602906</v>
      </c>
      <c r="AB81" s="28">
        <f t="shared" si="27"/>
        <v>127.7491766495596</v>
      </c>
      <c r="AC81" s="28">
        <f t="shared" si="28"/>
        <v>843.82895781902141</v>
      </c>
    </row>
    <row r="82" spans="1:29" x14ac:dyDescent="0.3">
      <c r="A82" s="29" t="s">
        <v>164</v>
      </c>
      <c r="B82" s="32" t="str" cm="1">
        <f t="array" ref="B82">IFERROR(
    _xlfn.XLOOKUP(
        $A82,
        Table1[Location],
        INDEX(Table1[], , MATCH(B$1, Table1[#Headers], 0))
    ),
"")</f>
        <v>TBD</v>
      </c>
      <c r="C82" s="28" cm="1">
        <f t="array" ref="C82">IFERROR(
    _xlfn.XLOOKUP(
        $A82,
        Table1[Location],
        INDEX(Table1[], , MATCH(C$1, Table1[#Headers], 0))
    ),
"")</f>
        <v>0</v>
      </c>
      <c r="D82" s="28" cm="1">
        <f t="array" ref="D82">IFERROR(
    _xlfn.XLOOKUP(
        $A82,
        Table1[Location],
        INDEX(Table1[], , MATCH(D$1, Table1[#Headers], 0))
    ),
"")</f>
        <v>0</v>
      </c>
      <c r="E82" s="28" cm="1">
        <f t="array" ref="E82">IFERROR(
    _xlfn.XLOOKUP(
        $A82,
        Table1[Location],
        INDEX(Table1[], , MATCH(E$1, Table1[#Headers], 0))
    ),
"")</f>
        <v>0</v>
      </c>
      <c r="F82" s="28" cm="1">
        <f t="array" ref="F82">IFERROR(
    _xlfn.XLOOKUP(
        $A82,
        Table1[Location],
        INDEX(Table1[], , MATCH(F$1, Table1[#Headers], 0))
    ),
"")</f>
        <v>0</v>
      </c>
      <c r="G82" s="28" cm="1">
        <f t="array" ref="G82">IFERROR(
    _xlfn.XLOOKUP(
        $A82,
        Table1[Location],
        INDEX(Table1[], , MATCH(G$1, Table1[#Headers], 0))
    ),
"")</f>
        <v>0</v>
      </c>
      <c r="H82" s="28" cm="1">
        <f t="array" ref="H82">IFERROR(
    _xlfn.XLOOKUP(
        $A82,
        Table1[Location],
        INDEX(Table1[], , MATCH(H$1, Table1[#Headers], 0))
    ),
"")</f>
        <v>0</v>
      </c>
      <c r="I82" s="28" cm="1">
        <f t="array" ref="I82">IFERROR(
    _xlfn.XLOOKUP(
        $A82,
        Table1[Location],
        INDEX(Table1[], , MATCH(I$1, Table1[#Headers], 0))
    ),
"")</f>
        <v>5000</v>
      </c>
      <c r="J82" s="28" cm="1">
        <f t="array" ref="J82">IFERROR(
    _xlfn.XLOOKUP(
        $A82,
        Table1[Location],
        INDEX(Table1[], , MATCH(J$1, Table1[#Headers], 0))
    ),
"")</f>
        <v>7500</v>
      </c>
      <c r="K82" s="28" cm="1">
        <f t="array" ref="K82">IFERROR(
    _xlfn.XLOOKUP(
        $A82,
        Table1[Location],
        INDEX(Table1[], , MATCH(K$1, Table1[#Headers], 0))
    ),
"")</f>
        <v>25000</v>
      </c>
      <c r="L82" s="28" cm="1">
        <f t="array" ref="L82">IFERROR(
    _xlfn.XLOOKUP(
        $A82,
        Table1[Location],
        INDEX(Table1[], , MATCH(L$1, Table1[#Headers], 0))
    ),
"")</f>
        <v>18107.654385184189</v>
      </c>
      <c r="M82" s="28" cm="1">
        <f t="array" ref="M82">IFERROR(
    _xlfn.XLOOKUP(
        $A82,
        Table1[Location],
        INDEX(Table1[], , MATCH(M$1, Table1[#Headers], 0))
    ),
"")</f>
        <v>18038.027485083519</v>
      </c>
      <c r="N82" s="28" cm="1">
        <f t="array" ref="N82">IFERROR(
    _xlfn.XLOOKUP(
        $A82,
        Table1[Location],
        INDEX(Table1[], , MATCH(N$1, Table1[#Headers], 0))
    ),
"")</f>
        <v>7627.970868988481</v>
      </c>
      <c r="O82" s="28">
        <f t="shared" si="15"/>
        <v>81273.652739256184</v>
      </c>
      <c r="Q82" s="28">
        <f t="shared" si="16"/>
        <v>0</v>
      </c>
      <c r="R82" s="28">
        <f t="shared" si="17"/>
        <v>0</v>
      </c>
      <c r="S82" s="28">
        <f t="shared" si="18"/>
        <v>0</v>
      </c>
      <c r="T82" s="28">
        <f t="shared" si="19"/>
        <v>0</v>
      </c>
      <c r="U82" s="28">
        <f t="shared" si="20"/>
        <v>0</v>
      </c>
      <c r="V82" s="28">
        <f t="shared" si="21"/>
        <v>0</v>
      </c>
      <c r="W82" s="28">
        <f t="shared" si="22"/>
        <v>50</v>
      </c>
      <c r="X82" s="28">
        <f t="shared" si="23"/>
        <v>75</v>
      </c>
      <c r="Y82" s="28">
        <f t="shared" si="24"/>
        <v>250</v>
      </c>
      <c r="Z82" s="28">
        <f t="shared" si="25"/>
        <v>181.0765438518419</v>
      </c>
      <c r="AA82" s="28">
        <f t="shared" si="26"/>
        <v>180.38027485083521</v>
      </c>
      <c r="AB82" s="28">
        <f t="shared" si="27"/>
        <v>76.279708689884814</v>
      </c>
      <c r="AC82" s="28">
        <f t="shared" si="28"/>
        <v>812.73652739256204</v>
      </c>
    </row>
    <row r="83" spans="1:29" x14ac:dyDescent="0.3">
      <c r="A83" s="29" t="s">
        <v>165</v>
      </c>
      <c r="B83" s="32" t="str" cm="1">
        <f t="array" ref="B83">IFERROR(
    _xlfn.XLOOKUP(
        $A83,
        Table1[Location],
        INDEX(Table1[], , MATCH(B$1, Table1[#Headers], 0))
    ),
"")</f>
        <v>TBD</v>
      </c>
      <c r="C83" s="28" cm="1">
        <f t="array" ref="C83">IFERROR(
    _xlfn.XLOOKUP(
        $A83,
        Table1[Location],
        INDEX(Table1[], , MATCH(C$1, Table1[#Headers], 0))
    ),
"")</f>
        <v>0</v>
      </c>
      <c r="D83" s="28" cm="1">
        <f t="array" ref="D83">IFERROR(
    _xlfn.XLOOKUP(
        $A83,
        Table1[Location],
        INDEX(Table1[], , MATCH(D$1, Table1[#Headers], 0))
    ),
"")</f>
        <v>0</v>
      </c>
      <c r="E83" s="28" cm="1">
        <f t="array" ref="E83">IFERROR(
    _xlfn.XLOOKUP(
        $A83,
        Table1[Location],
        INDEX(Table1[], , MATCH(E$1, Table1[#Headers], 0))
    ),
"")</f>
        <v>0</v>
      </c>
      <c r="F83" s="28" cm="1">
        <f t="array" ref="F83">IFERROR(
    _xlfn.XLOOKUP(
        $A83,
        Table1[Location],
        INDEX(Table1[], , MATCH(F$1, Table1[#Headers], 0))
    ),
"")</f>
        <v>0</v>
      </c>
      <c r="G83" s="28" cm="1">
        <f t="array" ref="G83">IFERROR(
    _xlfn.XLOOKUP(
        $A83,
        Table1[Location],
        INDEX(Table1[], , MATCH(G$1, Table1[#Headers], 0))
    ),
"")</f>
        <v>0</v>
      </c>
      <c r="H83" s="28" cm="1">
        <f t="array" ref="H83">IFERROR(
    _xlfn.XLOOKUP(
        $A83,
        Table1[Location],
        INDEX(Table1[], , MATCH(H$1, Table1[#Headers], 0))
    ),
"")</f>
        <v>0</v>
      </c>
      <c r="I83" s="28" cm="1">
        <f t="array" ref="I83">IFERROR(
    _xlfn.XLOOKUP(
        $A83,
        Table1[Location],
        INDEX(Table1[], , MATCH(I$1, Table1[#Headers], 0))
    ),
"")</f>
        <v>5000</v>
      </c>
      <c r="J83" s="28" cm="1">
        <f t="array" ref="J83">IFERROR(
    _xlfn.XLOOKUP(
        $A83,
        Table1[Location],
        INDEX(Table1[], , MATCH(J$1, Table1[#Headers], 0))
    ),
"")</f>
        <v>7500</v>
      </c>
      <c r="K83" s="28" cm="1">
        <f t="array" ref="K83">IFERROR(
    _xlfn.XLOOKUP(
        $A83,
        Table1[Location],
        INDEX(Table1[], , MATCH(K$1, Table1[#Headers], 0))
    ),
"")</f>
        <v>25000</v>
      </c>
      <c r="L83" s="28" cm="1">
        <f t="array" ref="L83">IFERROR(
    _xlfn.XLOOKUP(
        $A83,
        Table1[Location],
        INDEX(Table1[], , MATCH(L$1, Table1[#Headers], 0))
    ),
"")</f>
        <v>14578.11838330952</v>
      </c>
      <c r="M83" s="28" cm="1">
        <f t="array" ref="M83">IFERROR(
    _xlfn.XLOOKUP(
        $A83,
        Table1[Location],
        INDEX(Table1[], , MATCH(M$1, Table1[#Headers], 0))
    ),
"")</f>
        <v>11194.693759628801</v>
      </c>
      <c r="N83" s="28" cm="1">
        <f t="array" ref="N83">IFERROR(
    _xlfn.XLOOKUP(
        $A83,
        Table1[Location],
        INDEX(Table1[], , MATCH(N$1, Table1[#Headers], 0))
    ),
"")</f>
        <v>14594.20439165587</v>
      </c>
      <c r="O83" s="28">
        <f t="shared" si="15"/>
        <v>77867.016534594193</v>
      </c>
      <c r="Q83" s="28">
        <f t="shared" si="16"/>
        <v>0</v>
      </c>
      <c r="R83" s="28">
        <f t="shared" si="17"/>
        <v>0</v>
      </c>
      <c r="S83" s="28">
        <f t="shared" si="18"/>
        <v>0</v>
      </c>
      <c r="T83" s="28">
        <f t="shared" si="19"/>
        <v>0</v>
      </c>
      <c r="U83" s="28">
        <f t="shared" si="20"/>
        <v>0</v>
      </c>
      <c r="V83" s="28">
        <f t="shared" si="21"/>
        <v>0</v>
      </c>
      <c r="W83" s="28">
        <f t="shared" si="22"/>
        <v>50</v>
      </c>
      <c r="X83" s="28">
        <f t="shared" si="23"/>
        <v>75</v>
      </c>
      <c r="Y83" s="28">
        <f t="shared" si="24"/>
        <v>250</v>
      </c>
      <c r="Z83" s="28">
        <f t="shared" si="25"/>
        <v>145.78118383309521</v>
      </c>
      <c r="AA83" s="28">
        <f t="shared" si="26"/>
        <v>111.94693759628801</v>
      </c>
      <c r="AB83" s="28">
        <f t="shared" si="27"/>
        <v>145.9420439165587</v>
      </c>
      <c r="AC83" s="28">
        <f t="shared" si="28"/>
        <v>778.67016534594177</v>
      </c>
    </row>
    <row r="84" spans="1:29" x14ac:dyDescent="0.3">
      <c r="A84" s="29" t="s">
        <v>166</v>
      </c>
      <c r="B84" s="32" t="str" cm="1">
        <f t="array" ref="B84">IFERROR(
    _xlfn.XLOOKUP(
        $A84,
        Table1[Location],
        INDEX(Table1[], , MATCH(B$1, Table1[#Headers], 0))
    ),
"")</f>
        <v>TBD</v>
      </c>
      <c r="C84" s="28" cm="1">
        <f t="array" ref="C84">IFERROR(
    _xlfn.XLOOKUP(
        $A84,
        Table1[Location],
        INDEX(Table1[], , MATCH(C$1, Table1[#Headers], 0))
    ),
"")</f>
        <v>0</v>
      </c>
      <c r="D84" s="28" cm="1">
        <f t="array" ref="D84">IFERROR(
    _xlfn.XLOOKUP(
        $A84,
        Table1[Location],
        INDEX(Table1[], , MATCH(D$1, Table1[#Headers], 0))
    ),
"")</f>
        <v>0</v>
      </c>
      <c r="E84" s="28" cm="1">
        <f t="array" ref="E84">IFERROR(
    _xlfn.XLOOKUP(
        $A84,
        Table1[Location],
        INDEX(Table1[], , MATCH(E$1, Table1[#Headers], 0))
    ),
"")</f>
        <v>0</v>
      </c>
      <c r="F84" s="28" cm="1">
        <f t="array" ref="F84">IFERROR(
    _xlfn.XLOOKUP(
        $A84,
        Table1[Location],
        INDEX(Table1[], , MATCH(F$1, Table1[#Headers], 0))
    ),
"")</f>
        <v>0</v>
      </c>
      <c r="G84" s="28" cm="1">
        <f t="array" ref="G84">IFERROR(
    _xlfn.XLOOKUP(
        $A84,
        Table1[Location],
        INDEX(Table1[], , MATCH(G$1, Table1[#Headers], 0))
    ),
"")</f>
        <v>0</v>
      </c>
      <c r="H84" s="28" cm="1">
        <f t="array" ref="H84">IFERROR(
    _xlfn.XLOOKUP(
        $A84,
        Table1[Location],
        INDEX(Table1[], , MATCH(H$1, Table1[#Headers], 0))
    ),
"")</f>
        <v>0</v>
      </c>
      <c r="I84" s="28" cm="1">
        <f t="array" ref="I84">IFERROR(
    _xlfn.XLOOKUP(
        $A84,
        Table1[Location],
        INDEX(Table1[], , MATCH(I$1, Table1[#Headers], 0))
    ),
"")</f>
        <v>5000</v>
      </c>
      <c r="J84" s="28" cm="1">
        <f t="array" ref="J84">IFERROR(
    _xlfn.XLOOKUP(
        $A84,
        Table1[Location],
        INDEX(Table1[], , MATCH(J$1, Table1[#Headers], 0))
    ),
"")</f>
        <v>7500</v>
      </c>
      <c r="K84" s="28" cm="1">
        <f t="array" ref="K84">IFERROR(
    _xlfn.XLOOKUP(
        $A84,
        Table1[Location],
        INDEX(Table1[], , MATCH(K$1, Table1[#Headers], 0))
    ),
"")</f>
        <v>25000</v>
      </c>
      <c r="L84" s="28" cm="1">
        <f t="array" ref="L84">IFERROR(
    _xlfn.XLOOKUP(
        $A84,
        Table1[Location],
        INDEX(Table1[], , MATCH(L$1, Table1[#Headers], 0))
    ),
"")</f>
        <v>21485.89101833681</v>
      </c>
      <c r="M84" s="28" cm="1">
        <f t="array" ref="M84">IFERROR(
    _xlfn.XLOOKUP(
        $A84,
        Table1[Location],
        INDEX(Table1[], , MATCH(M$1, Table1[#Headers], 0))
    ),
"")</f>
        <v>17348.672628632321</v>
      </c>
      <c r="N84" s="28" cm="1">
        <f t="array" ref="N84">IFERROR(
    _xlfn.XLOOKUP(
        $A84,
        Table1[Location],
        INDEX(Table1[], , MATCH(N$1, Table1[#Headers], 0))
    ),
"")</f>
        <v>12941.559677051629</v>
      </c>
      <c r="O84" s="28">
        <f t="shared" si="15"/>
        <v>89276.123324020766</v>
      </c>
      <c r="Q84" s="28">
        <f t="shared" si="16"/>
        <v>0</v>
      </c>
      <c r="R84" s="28">
        <f t="shared" si="17"/>
        <v>0</v>
      </c>
      <c r="S84" s="28">
        <f t="shared" si="18"/>
        <v>0</v>
      </c>
      <c r="T84" s="28">
        <f t="shared" si="19"/>
        <v>0</v>
      </c>
      <c r="U84" s="28">
        <f t="shared" si="20"/>
        <v>0</v>
      </c>
      <c r="V84" s="28">
        <f t="shared" si="21"/>
        <v>0</v>
      </c>
      <c r="W84" s="28">
        <f t="shared" si="22"/>
        <v>50</v>
      </c>
      <c r="X84" s="28">
        <f t="shared" si="23"/>
        <v>75</v>
      </c>
      <c r="Y84" s="28">
        <f t="shared" si="24"/>
        <v>250</v>
      </c>
      <c r="Z84" s="28">
        <f t="shared" si="25"/>
        <v>214.8589101833681</v>
      </c>
      <c r="AA84" s="28">
        <f t="shared" si="26"/>
        <v>173.4867262863232</v>
      </c>
      <c r="AB84" s="28">
        <f t="shared" si="27"/>
        <v>129.41559677051629</v>
      </c>
      <c r="AC84" s="28">
        <f t="shared" si="28"/>
        <v>892.76123324020773</v>
      </c>
    </row>
    <row r="85" spans="1:29" x14ac:dyDescent="0.3">
      <c r="A85" s="29" t="s">
        <v>167</v>
      </c>
      <c r="B85" s="32" t="str" cm="1">
        <f t="array" ref="B85">IFERROR(
    _xlfn.XLOOKUP(
        $A85,
        Table1[Location],
        INDEX(Table1[], , MATCH(B$1, Table1[#Headers], 0))
    ),
"")</f>
        <v>TBD</v>
      </c>
      <c r="C85" s="28" cm="1">
        <f t="array" ref="C85">IFERROR(
    _xlfn.XLOOKUP(
        $A85,
        Table1[Location],
        INDEX(Table1[], , MATCH(C$1, Table1[#Headers], 0))
    ),
"")</f>
        <v>0</v>
      </c>
      <c r="D85" s="28" cm="1">
        <f t="array" ref="D85">IFERROR(
    _xlfn.XLOOKUP(
        $A85,
        Table1[Location],
        INDEX(Table1[], , MATCH(D$1, Table1[#Headers], 0))
    ),
"")</f>
        <v>0</v>
      </c>
      <c r="E85" s="28" cm="1">
        <f t="array" ref="E85">IFERROR(
    _xlfn.XLOOKUP(
        $A85,
        Table1[Location],
        INDEX(Table1[], , MATCH(E$1, Table1[#Headers], 0))
    ),
"")</f>
        <v>0</v>
      </c>
      <c r="F85" s="28" cm="1">
        <f t="array" ref="F85">IFERROR(
    _xlfn.XLOOKUP(
        $A85,
        Table1[Location],
        INDEX(Table1[], , MATCH(F$1, Table1[#Headers], 0))
    ),
"")</f>
        <v>0</v>
      </c>
      <c r="G85" s="28" cm="1">
        <f t="array" ref="G85">IFERROR(
    _xlfn.XLOOKUP(
        $A85,
        Table1[Location],
        INDEX(Table1[], , MATCH(G$1, Table1[#Headers], 0))
    ),
"")</f>
        <v>0</v>
      </c>
      <c r="H85" s="28" cm="1">
        <f t="array" ref="H85">IFERROR(
    _xlfn.XLOOKUP(
        $A85,
        Table1[Location],
        INDEX(Table1[], , MATCH(H$1, Table1[#Headers], 0))
    ),
"")</f>
        <v>0</v>
      </c>
      <c r="I85" s="28" cm="1">
        <f t="array" ref="I85">IFERROR(
    _xlfn.XLOOKUP(
        $A85,
        Table1[Location],
        INDEX(Table1[], , MATCH(I$1, Table1[#Headers], 0))
    ),
"")</f>
        <v>5000</v>
      </c>
      <c r="J85" s="28" cm="1">
        <f t="array" ref="J85">IFERROR(
    _xlfn.XLOOKUP(
        $A85,
        Table1[Location],
        INDEX(Table1[], , MATCH(J$1, Table1[#Headers], 0))
    ),
"")</f>
        <v>7500</v>
      </c>
      <c r="K85" s="28" cm="1">
        <f t="array" ref="K85">IFERROR(
    _xlfn.XLOOKUP(
        $A85,
        Table1[Location],
        INDEX(Table1[], , MATCH(K$1, Table1[#Headers], 0))
    ),
"")</f>
        <v>25000</v>
      </c>
      <c r="L85" s="28" cm="1">
        <f t="array" ref="L85">IFERROR(
    _xlfn.XLOOKUP(
        $A85,
        Table1[Location],
        INDEX(Table1[], , MATCH(L$1, Table1[#Headers], 0))
    ),
"")</f>
        <v>18953.053000661239</v>
      </c>
      <c r="M85" s="28" cm="1">
        <f t="array" ref="M85">IFERROR(
    _xlfn.XLOOKUP(
        $A85,
        Table1[Location],
        INDEX(Table1[], , MATCH(M$1, Table1[#Headers], 0))
    ),
"")</f>
        <v>14595.598872583119</v>
      </c>
      <c r="N85" s="28" cm="1">
        <f t="array" ref="N85">IFERROR(
    _xlfn.XLOOKUP(
        $A85,
        Table1[Location],
        INDEX(Table1[], , MATCH(N$1, Table1[#Headers], 0))
    ),
"")</f>
        <v>7965.0437891663578</v>
      </c>
      <c r="O85" s="28">
        <f t="shared" si="15"/>
        <v>79013.695662410712</v>
      </c>
      <c r="Q85" s="28">
        <f t="shared" si="16"/>
        <v>0</v>
      </c>
      <c r="R85" s="28">
        <f t="shared" si="17"/>
        <v>0</v>
      </c>
      <c r="S85" s="28">
        <f t="shared" si="18"/>
        <v>0</v>
      </c>
      <c r="T85" s="28">
        <f t="shared" si="19"/>
        <v>0</v>
      </c>
      <c r="U85" s="28">
        <f t="shared" si="20"/>
        <v>0</v>
      </c>
      <c r="V85" s="28">
        <f t="shared" si="21"/>
        <v>0</v>
      </c>
      <c r="W85" s="28">
        <f t="shared" si="22"/>
        <v>50</v>
      </c>
      <c r="X85" s="28">
        <f t="shared" si="23"/>
        <v>75</v>
      </c>
      <c r="Y85" s="28">
        <f t="shared" si="24"/>
        <v>250</v>
      </c>
      <c r="Z85" s="28">
        <f t="shared" si="25"/>
        <v>189.53053000661239</v>
      </c>
      <c r="AA85" s="28">
        <f t="shared" si="26"/>
        <v>145.95598872583119</v>
      </c>
      <c r="AB85" s="28">
        <f t="shared" si="27"/>
        <v>79.650437891663586</v>
      </c>
      <c r="AC85" s="28">
        <f t="shared" si="28"/>
        <v>790.13695662410714</v>
      </c>
    </row>
    <row r="86" spans="1:29" x14ac:dyDescent="0.3">
      <c r="A86" s="29" t="s">
        <v>168</v>
      </c>
      <c r="B86" s="32" t="str" cm="1">
        <f t="array" ref="B86">IFERROR(
    _xlfn.XLOOKUP(
        $A86,
        Table1[Location],
        INDEX(Table1[], , MATCH(B$1, Table1[#Headers], 0))
    ),
"")</f>
        <v>TBD</v>
      </c>
      <c r="C86" s="28" cm="1">
        <f t="array" ref="C86">IFERROR(
    _xlfn.XLOOKUP(
        $A86,
        Table1[Location],
        INDEX(Table1[], , MATCH(C$1, Table1[#Headers], 0))
    ),
"")</f>
        <v>0</v>
      </c>
      <c r="D86" s="28" cm="1">
        <f t="array" ref="D86">IFERROR(
    _xlfn.XLOOKUP(
        $A86,
        Table1[Location],
        INDEX(Table1[], , MATCH(D$1, Table1[#Headers], 0))
    ),
"")</f>
        <v>0</v>
      </c>
      <c r="E86" s="28" cm="1">
        <f t="array" ref="E86">IFERROR(
    _xlfn.XLOOKUP(
        $A86,
        Table1[Location],
        INDEX(Table1[], , MATCH(E$1, Table1[#Headers], 0))
    ),
"")</f>
        <v>0</v>
      </c>
      <c r="F86" s="28" cm="1">
        <f t="array" ref="F86">IFERROR(
    _xlfn.XLOOKUP(
        $A86,
        Table1[Location],
        INDEX(Table1[], , MATCH(F$1, Table1[#Headers], 0))
    ),
"")</f>
        <v>0</v>
      </c>
      <c r="G86" s="28" cm="1">
        <f t="array" ref="G86">IFERROR(
    _xlfn.XLOOKUP(
        $A86,
        Table1[Location],
        INDEX(Table1[], , MATCH(G$1, Table1[#Headers], 0))
    ),
"")</f>
        <v>0</v>
      </c>
      <c r="H86" s="28" cm="1">
        <f t="array" ref="H86">IFERROR(
    _xlfn.XLOOKUP(
        $A86,
        Table1[Location],
        INDEX(Table1[], , MATCH(H$1, Table1[#Headers], 0))
    ),
"")</f>
        <v>0</v>
      </c>
      <c r="I86" s="28" cm="1">
        <f t="array" ref="I86">IFERROR(
    _xlfn.XLOOKUP(
        $A86,
        Table1[Location],
        INDEX(Table1[], , MATCH(I$1, Table1[#Headers], 0))
    ),
"")</f>
        <v>5000</v>
      </c>
      <c r="J86" s="28" cm="1">
        <f t="array" ref="J86">IFERROR(
    _xlfn.XLOOKUP(
        $A86,
        Table1[Location],
        INDEX(Table1[], , MATCH(J$1, Table1[#Headers], 0))
    ),
"")</f>
        <v>7500</v>
      </c>
      <c r="K86" s="28" cm="1">
        <f t="array" ref="K86">IFERROR(
    _xlfn.XLOOKUP(
        $A86,
        Table1[Location],
        INDEX(Table1[], , MATCH(K$1, Table1[#Headers], 0))
    ),
"")</f>
        <v>25000</v>
      </c>
      <c r="L86" s="28" cm="1">
        <f t="array" ref="L86">IFERROR(
    _xlfn.XLOOKUP(
        $A86,
        Table1[Location],
        INDEX(Table1[], , MATCH(L$1, Table1[#Headers], 0))
    ),
"")</f>
        <v>5000</v>
      </c>
      <c r="M86" s="28" cm="1">
        <f t="array" ref="M86">IFERROR(
    _xlfn.XLOOKUP(
        $A86,
        Table1[Location],
        INDEX(Table1[], , MATCH(M$1, Table1[#Headers], 0))
    ),
"")</f>
        <v>7500</v>
      </c>
      <c r="N86" s="28" cm="1">
        <f t="array" ref="N86">IFERROR(
    _xlfn.XLOOKUP(
        $A86,
        Table1[Location],
        INDEX(Table1[], , MATCH(N$1, Table1[#Headers], 0))
    ),
"")</f>
        <v>15000</v>
      </c>
      <c r="O86" s="28">
        <f t="shared" si="15"/>
        <v>65000</v>
      </c>
      <c r="Q86" s="28">
        <f t="shared" si="16"/>
        <v>0</v>
      </c>
      <c r="R86" s="28">
        <f t="shared" si="17"/>
        <v>0</v>
      </c>
      <c r="S86" s="28">
        <f t="shared" si="18"/>
        <v>0</v>
      </c>
      <c r="T86" s="28">
        <f t="shared" si="19"/>
        <v>0</v>
      </c>
      <c r="U86" s="28">
        <f t="shared" si="20"/>
        <v>0</v>
      </c>
      <c r="V86" s="28">
        <f t="shared" si="21"/>
        <v>0</v>
      </c>
      <c r="W86" s="28">
        <f t="shared" si="22"/>
        <v>50</v>
      </c>
      <c r="X86" s="28">
        <f t="shared" si="23"/>
        <v>75</v>
      </c>
      <c r="Y86" s="28">
        <f t="shared" si="24"/>
        <v>250</v>
      </c>
      <c r="Z86" s="28">
        <f t="shared" si="25"/>
        <v>50</v>
      </c>
      <c r="AA86" s="28">
        <f t="shared" si="26"/>
        <v>75</v>
      </c>
      <c r="AB86" s="28">
        <f t="shared" si="27"/>
        <v>150</v>
      </c>
      <c r="AC86" s="28">
        <f t="shared" si="28"/>
        <v>650</v>
      </c>
    </row>
    <row r="87" spans="1:29" x14ac:dyDescent="0.3">
      <c r="A87" s="29" t="s">
        <v>169</v>
      </c>
      <c r="B87" s="32" t="str" cm="1">
        <f t="array" ref="B87">IFERROR(
    _xlfn.XLOOKUP(
        $A87,
        Table1[Location],
        INDEX(Table1[], , MATCH(B$1, Table1[#Headers], 0))
    ),
"")</f>
        <v>TBD</v>
      </c>
      <c r="C87" s="28" cm="1">
        <f t="array" ref="C87">IFERROR(
    _xlfn.XLOOKUP(
        $A87,
        Table1[Location],
        INDEX(Table1[], , MATCH(C$1, Table1[#Headers], 0))
    ),
"")</f>
        <v>0</v>
      </c>
      <c r="D87" s="28" cm="1">
        <f t="array" ref="D87">IFERROR(
    _xlfn.XLOOKUP(
        $A87,
        Table1[Location],
        INDEX(Table1[], , MATCH(D$1, Table1[#Headers], 0))
    ),
"")</f>
        <v>0</v>
      </c>
      <c r="E87" s="28" cm="1">
        <f t="array" ref="E87">IFERROR(
    _xlfn.XLOOKUP(
        $A87,
        Table1[Location],
        INDEX(Table1[], , MATCH(E$1, Table1[#Headers], 0))
    ),
"")</f>
        <v>0</v>
      </c>
      <c r="F87" s="28" cm="1">
        <f t="array" ref="F87">IFERROR(
    _xlfn.XLOOKUP(
        $A87,
        Table1[Location],
        INDEX(Table1[], , MATCH(F$1, Table1[#Headers], 0))
    ),
"")</f>
        <v>0</v>
      </c>
      <c r="G87" s="28" cm="1">
        <f t="array" ref="G87">IFERROR(
    _xlfn.XLOOKUP(
        $A87,
        Table1[Location],
        INDEX(Table1[], , MATCH(G$1, Table1[#Headers], 0))
    ),
"")</f>
        <v>0</v>
      </c>
      <c r="H87" s="28" cm="1">
        <f t="array" ref="H87">IFERROR(
    _xlfn.XLOOKUP(
        $A87,
        Table1[Location],
        INDEX(Table1[], , MATCH(H$1, Table1[#Headers], 0))
    ),
"")</f>
        <v>0</v>
      </c>
      <c r="I87" s="28" cm="1">
        <f t="array" ref="I87">IFERROR(
    _xlfn.XLOOKUP(
        $A87,
        Table1[Location],
        INDEX(Table1[], , MATCH(I$1, Table1[#Headers], 0))
    ),
"")</f>
        <v>5000</v>
      </c>
      <c r="J87" s="28" cm="1">
        <f t="array" ref="J87">IFERROR(
    _xlfn.XLOOKUP(
        $A87,
        Table1[Location],
        INDEX(Table1[], , MATCH(J$1, Table1[#Headers], 0))
    ),
"")</f>
        <v>7500</v>
      </c>
      <c r="K87" s="28" cm="1">
        <f t="array" ref="K87">IFERROR(
    _xlfn.XLOOKUP(
        $A87,
        Table1[Location],
        INDEX(Table1[], , MATCH(K$1, Table1[#Headers], 0))
    ),
"")</f>
        <v>25000</v>
      </c>
      <c r="L87" s="28" cm="1">
        <f t="array" ref="L87">IFERROR(
    _xlfn.XLOOKUP(
        $A87,
        Table1[Location],
        INDEX(Table1[], , MATCH(L$1, Table1[#Headers], 0))
    ),
"")</f>
        <v>19149.42116436542</v>
      </c>
      <c r="M87" s="28" cm="1">
        <f t="array" ref="M87">IFERROR(
    _xlfn.XLOOKUP(
        $A87,
        Table1[Location],
        INDEX(Table1[], , MATCH(M$1, Table1[#Headers], 0))
    ),
"")</f>
        <v>10162.445868302741</v>
      </c>
      <c r="N87" s="28" cm="1">
        <f t="array" ref="N87">IFERROR(
    _xlfn.XLOOKUP(
        $A87,
        Table1[Location],
        INDEX(Table1[], , MATCH(N$1, Table1[#Headers], 0))
    ),
"")</f>
        <v>13222.08482343079</v>
      </c>
      <c r="O87" s="28">
        <f t="shared" si="15"/>
        <v>80033.951856098953</v>
      </c>
      <c r="Q87" s="28">
        <f t="shared" si="16"/>
        <v>0</v>
      </c>
      <c r="R87" s="28">
        <f t="shared" si="17"/>
        <v>0</v>
      </c>
      <c r="S87" s="28">
        <f t="shared" si="18"/>
        <v>0</v>
      </c>
      <c r="T87" s="28">
        <f t="shared" si="19"/>
        <v>0</v>
      </c>
      <c r="U87" s="28">
        <f t="shared" si="20"/>
        <v>0</v>
      </c>
      <c r="V87" s="28">
        <f t="shared" si="21"/>
        <v>0</v>
      </c>
      <c r="W87" s="28">
        <f t="shared" si="22"/>
        <v>50</v>
      </c>
      <c r="X87" s="28">
        <f t="shared" si="23"/>
        <v>75</v>
      </c>
      <c r="Y87" s="28">
        <f t="shared" si="24"/>
        <v>250</v>
      </c>
      <c r="Z87" s="28">
        <f t="shared" si="25"/>
        <v>191.49421164365421</v>
      </c>
      <c r="AA87" s="28">
        <f t="shared" si="26"/>
        <v>101.62445868302741</v>
      </c>
      <c r="AB87" s="28">
        <f t="shared" si="27"/>
        <v>132.22084823430791</v>
      </c>
      <c r="AC87" s="28">
        <f t="shared" si="28"/>
        <v>800.33951856098963</v>
      </c>
    </row>
    <row r="88" spans="1:29" x14ac:dyDescent="0.3">
      <c r="A88" s="29" t="s">
        <v>170</v>
      </c>
      <c r="B88" s="32" t="str" cm="1">
        <f t="array" ref="B88">IFERROR(
    _xlfn.XLOOKUP(
        $A88,
        Table1[Location],
        INDEX(Table1[], , MATCH(B$1, Table1[#Headers], 0))
    ),
"")</f>
        <v>TBD</v>
      </c>
      <c r="C88" s="28" cm="1">
        <f t="array" ref="C88">IFERROR(
    _xlfn.XLOOKUP(
        $A88,
        Table1[Location],
        INDEX(Table1[], , MATCH(C$1, Table1[#Headers], 0))
    ),
"")</f>
        <v>0</v>
      </c>
      <c r="D88" s="28" cm="1">
        <f t="array" ref="D88">IFERROR(
    _xlfn.XLOOKUP(
        $A88,
        Table1[Location],
        INDEX(Table1[], , MATCH(D$1, Table1[#Headers], 0))
    ),
"")</f>
        <v>0</v>
      </c>
      <c r="E88" s="28" cm="1">
        <f t="array" ref="E88">IFERROR(
    _xlfn.XLOOKUP(
        $A88,
        Table1[Location],
        INDEX(Table1[], , MATCH(E$1, Table1[#Headers], 0))
    ),
"")</f>
        <v>0</v>
      </c>
      <c r="F88" s="28" cm="1">
        <f t="array" ref="F88">IFERROR(
    _xlfn.XLOOKUP(
        $A88,
        Table1[Location],
        INDEX(Table1[], , MATCH(F$1, Table1[#Headers], 0))
    ),
"")</f>
        <v>0</v>
      </c>
      <c r="G88" s="28" cm="1">
        <f t="array" ref="G88">IFERROR(
    _xlfn.XLOOKUP(
        $A88,
        Table1[Location],
        INDEX(Table1[], , MATCH(G$1, Table1[#Headers], 0))
    ),
"")</f>
        <v>0</v>
      </c>
      <c r="H88" s="28" cm="1">
        <f t="array" ref="H88">IFERROR(
    _xlfn.XLOOKUP(
        $A88,
        Table1[Location],
        INDEX(Table1[], , MATCH(H$1, Table1[#Headers], 0))
    ),
"")</f>
        <v>0</v>
      </c>
      <c r="I88" s="28" cm="1">
        <f t="array" ref="I88">IFERROR(
    _xlfn.XLOOKUP(
        $A88,
        Table1[Location],
        INDEX(Table1[], , MATCH(I$1, Table1[#Headers], 0))
    ),
"")</f>
        <v>0</v>
      </c>
      <c r="J88" s="28" cm="1">
        <f t="array" ref="J88">IFERROR(
    _xlfn.XLOOKUP(
        $A88,
        Table1[Location],
        INDEX(Table1[], , MATCH(J$1, Table1[#Headers], 0))
    ),
"")</f>
        <v>5000</v>
      </c>
      <c r="K88" s="28" cm="1">
        <f t="array" ref="K88">IFERROR(
    _xlfn.XLOOKUP(
        $A88,
        Table1[Location],
        INDEX(Table1[], , MATCH(K$1, Table1[#Headers], 0))
    ),
"")</f>
        <v>7500</v>
      </c>
      <c r="L88" s="28" cm="1">
        <f t="array" ref="L88">IFERROR(
    _xlfn.XLOOKUP(
        $A88,
        Table1[Location],
        INDEX(Table1[], , MATCH(L$1, Table1[#Headers], 0))
    ),
"")</f>
        <v>25000</v>
      </c>
      <c r="M88" s="28" cm="1">
        <f t="array" ref="M88">IFERROR(
    _xlfn.XLOOKUP(
        $A88,
        Table1[Location],
        INDEX(Table1[], , MATCH(M$1, Table1[#Headers], 0))
    ),
"")</f>
        <v>12020.90650091769</v>
      </c>
      <c r="N88" s="28" cm="1">
        <f t="array" ref="N88">IFERROR(
    _xlfn.XLOOKUP(
        $A88,
        Table1[Location],
        INDEX(Table1[], , MATCH(N$1, Table1[#Headers], 0))
    ),
"")</f>
        <v>9496.8910467422338</v>
      </c>
      <c r="O88" s="28">
        <f t="shared" si="15"/>
        <v>59017.797547659924</v>
      </c>
      <c r="Q88" s="28">
        <f t="shared" si="16"/>
        <v>0</v>
      </c>
      <c r="R88" s="28">
        <f t="shared" si="17"/>
        <v>0</v>
      </c>
      <c r="S88" s="28">
        <f t="shared" si="18"/>
        <v>0</v>
      </c>
      <c r="T88" s="28">
        <f t="shared" si="19"/>
        <v>0</v>
      </c>
      <c r="U88" s="28">
        <f t="shared" si="20"/>
        <v>0</v>
      </c>
      <c r="V88" s="28">
        <f t="shared" si="21"/>
        <v>0</v>
      </c>
      <c r="W88" s="28">
        <f t="shared" si="22"/>
        <v>0</v>
      </c>
      <c r="X88" s="28">
        <f t="shared" si="23"/>
        <v>50</v>
      </c>
      <c r="Y88" s="28">
        <f t="shared" si="24"/>
        <v>75</v>
      </c>
      <c r="Z88" s="28">
        <f t="shared" si="25"/>
        <v>250</v>
      </c>
      <c r="AA88" s="28">
        <f t="shared" si="26"/>
        <v>120.20906500917691</v>
      </c>
      <c r="AB88" s="28">
        <f t="shared" si="27"/>
        <v>94.968910467422333</v>
      </c>
      <c r="AC88" s="28">
        <f t="shared" si="28"/>
        <v>590.17797547659927</v>
      </c>
    </row>
    <row r="89" spans="1:29" x14ac:dyDescent="0.3">
      <c r="A89" s="29" t="s">
        <v>171</v>
      </c>
      <c r="B89" s="32" t="str" cm="1">
        <f t="array" ref="B89">IFERROR(
    _xlfn.XLOOKUP(
        $A89,
        Table1[Location],
        INDEX(Table1[], , MATCH(B$1, Table1[#Headers], 0))
    ),
"")</f>
        <v>TBD</v>
      </c>
      <c r="C89" s="28" cm="1">
        <f t="array" ref="C89">IFERROR(
    _xlfn.XLOOKUP(
        $A89,
        Table1[Location],
        INDEX(Table1[], , MATCH(C$1, Table1[#Headers], 0))
    ),
"")</f>
        <v>0</v>
      </c>
      <c r="D89" s="28" cm="1">
        <f t="array" ref="D89">IFERROR(
    _xlfn.XLOOKUP(
        $A89,
        Table1[Location],
        INDEX(Table1[], , MATCH(D$1, Table1[#Headers], 0))
    ),
"")</f>
        <v>0</v>
      </c>
      <c r="E89" s="28" cm="1">
        <f t="array" ref="E89">IFERROR(
    _xlfn.XLOOKUP(
        $A89,
        Table1[Location],
        INDEX(Table1[], , MATCH(E$1, Table1[#Headers], 0))
    ),
"")</f>
        <v>0</v>
      </c>
      <c r="F89" s="28" cm="1">
        <f t="array" ref="F89">IFERROR(
    _xlfn.XLOOKUP(
        $A89,
        Table1[Location],
        INDEX(Table1[], , MATCH(F$1, Table1[#Headers], 0))
    ),
"")</f>
        <v>0</v>
      </c>
      <c r="G89" s="28" cm="1">
        <f t="array" ref="G89">IFERROR(
    _xlfn.XLOOKUP(
        $A89,
        Table1[Location],
        INDEX(Table1[], , MATCH(G$1, Table1[#Headers], 0))
    ),
"")</f>
        <v>0</v>
      </c>
      <c r="H89" s="28" cm="1">
        <f t="array" ref="H89">IFERROR(
    _xlfn.XLOOKUP(
        $A89,
        Table1[Location],
        INDEX(Table1[], , MATCH(H$1, Table1[#Headers], 0))
    ),
"")</f>
        <v>0</v>
      </c>
      <c r="I89" s="28" cm="1">
        <f t="array" ref="I89">IFERROR(
    _xlfn.XLOOKUP(
        $A89,
        Table1[Location],
        INDEX(Table1[], , MATCH(I$1, Table1[#Headers], 0))
    ),
"")</f>
        <v>0</v>
      </c>
      <c r="J89" s="28" cm="1">
        <f t="array" ref="J89">IFERROR(
    _xlfn.XLOOKUP(
        $A89,
        Table1[Location],
        INDEX(Table1[], , MATCH(J$1, Table1[#Headers], 0))
    ),
"")</f>
        <v>5000</v>
      </c>
      <c r="K89" s="28" cm="1">
        <f t="array" ref="K89">IFERROR(
    _xlfn.XLOOKUP(
        $A89,
        Table1[Location],
        INDEX(Table1[], , MATCH(K$1, Table1[#Headers], 0))
    ),
"")</f>
        <v>7500</v>
      </c>
      <c r="L89" s="28" cm="1">
        <f t="array" ref="L89">IFERROR(
    _xlfn.XLOOKUP(
        $A89,
        Table1[Location],
        INDEX(Table1[], , MATCH(L$1, Table1[#Headers], 0))
    ),
"")</f>
        <v>25000</v>
      </c>
      <c r="M89" s="28" cm="1">
        <f t="array" ref="M89">IFERROR(
    _xlfn.XLOOKUP(
        $A89,
        Table1[Location],
        INDEX(Table1[], , MATCH(M$1, Table1[#Headers], 0))
    ),
"")</f>
        <v>22502.715638762769</v>
      </c>
      <c r="N89" s="28" cm="1">
        <f t="array" ref="N89">IFERROR(
    _xlfn.XLOOKUP(
        $A89,
        Table1[Location],
        INDEX(Table1[], , MATCH(N$1, Table1[#Headers], 0))
    ),
"")</f>
        <v>9702.5957690108353</v>
      </c>
      <c r="O89" s="28">
        <f t="shared" si="15"/>
        <v>69705.31140777361</v>
      </c>
      <c r="Q89" s="28">
        <f t="shared" si="16"/>
        <v>0</v>
      </c>
      <c r="R89" s="28">
        <f t="shared" si="17"/>
        <v>0</v>
      </c>
      <c r="S89" s="28">
        <f t="shared" si="18"/>
        <v>0</v>
      </c>
      <c r="T89" s="28">
        <f t="shared" si="19"/>
        <v>0</v>
      </c>
      <c r="U89" s="28">
        <f t="shared" si="20"/>
        <v>0</v>
      </c>
      <c r="V89" s="28">
        <f t="shared" si="21"/>
        <v>0</v>
      </c>
      <c r="W89" s="28">
        <f t="shared" si="22"/>
        <v>0</v>
      </c>
      <c r="X89" s="28">
        <f t="shared" si="23"/>
        <v>50</v>
      </c>
      <c r="Y89" s="28">
        <f t="shared" si="24"/>
        <v>75</v>
      </c>
      <c r="Z89" s="28">
        <f t="shared" si="25"/>
        <v>250</v>
      </c>
      <c r="AA89" s="28">
        <f t="shared" si="26"/>
        <v>225.02715638762768</v>
      </c>
      <c r="AB89" s="28">
        <f t="shared" si="27"/>
        <v>97.025957690108356</v>
      </c>
      <c r="AC89" s="28">
        <f t="shared" si="28"/>
        <v>697.05311407773604</v>
      </c>
    </row>
    <row r="90" spans="1:29" x14ac:dyDescent="0.3">
      <c r="A90" s="29" t="s">
        <v>172</v>
      </c>
      <c r="B90" s="32" t="str" cm="1">
        <f t="array" ref="B90">IFERROR(
    _xlfn.XLOOKUP(
        $A90,
        Table1[Location],
        INDEX(Table1[], , MATCH(B$1, Table1[#Headers], 0))
    ),
"")</f>
        <v>TBD</v>
      </c>
      <c r="C90" s="28" cm="1">
        <f t="array" ref="C90">IFERROR(
    _xlfn.XLOOKUP(
        $A90,
        Table1[Location],
        INDEX(Table1[], , MATCH(C$1, Table1[#Headers], 0))
    ),
"")</f>
        <v>0</v>
      </c>
      <c r="D90" s="28" cm="1">
        <f t="array" ref="D90">IFERROR(
    _xlfn.XLOOKUP(
        $A90,
        Table1[Location],
        INDEX(Table1[], , MATCH(D$1, Table1[#Headers], 0))
    ),
"")</f>
        <v>0</v>
      </c>
      <c r="E90" s="28" cm="1">
        <f t="array" ref="E90">IFERROR(
    _xlfn.XLOOKUP(
        $A90,
        Table1[Location],
        INDEX(Table1[], , MATCH(E$1, Table1[#Headers], 0))
    ),
"")</f>
        <v>0</v>
      </c>
      <c r="F90" s="28" cm="1">
        <f t="array" ref="F90">IFERROR(
    _xlfn.XLOOKUP(
        $A90,
        Table1[Location],
        INDEX(Table1[], , MATCH(F$1, Table1[#Headers], 0))
    ),
"")</f>
        <v>0</v>
      </c>
      <c r="G90" s="28" cm="1">
        <f t="array" ref="G90">IFERROR(
    _xlfn.XLOOKUP(
        $A90,
        Table1[Location],
        INDEX(Table1[], , MATCH(G$1, Table1[#Headers], 0))
    ),
"")</f>
        <v>0</v>
      </c>
      <c r="H90" s="28" cm="1">
        <f t="array" ref="H90">IFERROR(
    _xlfn.XLOOKUP(
        $A90,
        Table1[Location],
        INDEX(Table1[], , MATCH(H$1, Table1[#Headers], 0))
    ),
"")</f>
        <v>0</v>
      </c>
      <c r="I90" s="28" cm="1">
        <f t="array" ref="I90">IFERROR(
    _xlfn.XLOOKUP(
        $A90,
        Table1[Location],
        INDEX(Table1[], , MATCH(I$1, Table1[#Headers], 0))
    ),
"")</f>
        <v>0</v>
      </c>
      <c r="J90" s="28" cm="1">
        <f t="array" ref="J90">IFERROR(
    _xlfn.XLOOKUP(
        $A90,
        Table1[Location],
        INDEX(Table1[], , MATCH(J$1, Table1[#Headers], 0))
    ),
"")</f>
        <v>5000</v>
      </c>
      <c r="K90" s="28" cm="1">
        <f t="array" ref="K90">IFERROR(
    _xlfn.XLOOKUP(
        $A90,
        Table1[Location],
        INDEX(Table1[], , MATCH(K$1, Table1[#Headers], 0))
    ),
"")</f>
        <v>7500</v>
      </c>
      <c r="L90" s="28" cm="1">
        <f t="array" ref="L90">IFERROR(
    _xlfn.XLOOKUP(
        $A90,
        Table1[Location],
        INDEX(Table1[], , MATCH(L$1, Table1[#Headers], 0))
    ),
"")</f>
        <v>25000</v>
      </c>
      <c r="M90" s="28" cm="1">
        <f t="array" ref="M90">IFERROR(
    _xlfn.XLOOKUP(
        $A90,
        Table1[Location],
        INDEX(Table1[], , MATCH(M$1, Table1[#Headers], 0))
    ),
"")</f>
        <v>17411.19361878273</v>
      </c>
      <c r="N90" s="28" cm="1">
        <f t="array" ref="N90">IFERROR(
    _xlfn.XLOOKUP(
        $A90,
        Table1[Location],
        INDEX(Table1[], , MATCH(N$1, Table1[#Headers], 0))
    ),
"")</f>
        <v>13690.6805201513</v>
      </c>
      <c r="O90" s="28">
        <f t="shared" si="15"/>
        <v>68601.874138934028</v>
      </c>
      <c r="Q90" s="28">
        <f t="shared" si="16"/>
        <v>0</v>
      </c>
      <c r="R90" s="28">
        <f t="shared" si="17"/>
        <v>0</v>
      </c>
      <c r="S90" s="28">
        <f t="shared" si="18"/>
        <v>0</v>
      </c>
      <c r="T90" s="28">
        <f t="shared" si="19"/>
        <v>0</v>
      </c>
      <c r="U90" s="28">
        <f t="shared" si="20"/>
        <v>0</v>
      </c>
      <c r="V90" s="28">
        <f t="shared" si="21"/>
        <v>0</v>
      </c>
      <c r="W90" s="28">
        <f t="shared" si="22"/>
        <v>0</v>
      </c>
      <c r="X90" s="28">
        <f t="shared" si="23"/>
        <v>50</v>
      </c>
      <c r="Y90" s="28">
        <f t="shared" si="24"/>
        <v>75</v>
      </c>
      <c r="Z90" s="28">
        <f t="shared" si="25"/>
        <v>250</v>
      </c>
      <c r="AA90" s="28">
        <f t="shared" si="26"/>
        <v>174.1119361878273</v>
      </c>
      <c r="AB90" s="28">
        <f t="shared" si="27"/>
        <v>136.90680520151301</v>
      </c>
      <c r="AC90" s="28">
        <f t="shared" si="28"/>
        <v>686.01874138934022</v>
      </c>
    </row>
    <row r="91" spans="1:29" x14ac:dyDescent="0.3">
      <c r="A91" s="29" t="s">
        <v>173</v>
      </c>
      <c r="B91" s="32" t="str" cm="1">
        <f t="array" ref="B91">IFERROR(
    _xlfn.XLOOKUP(
        $A91,
        Table1[Location],
        INDEX(Table1[], , MATCH(B$1, Table1[#Headers], 0))
    ),
"")</f>
        <v>TBD</v>
      </c>
      <c r="C91" s="28" cm="1">
        <f t="array" ref="C91">IFERROR(
    _xlfn.XLOOKUP(
        $A91,
        Table1[Location],
        INDEX(Table1[], , MATCH(C$1, Table1[#Headers], 0))
    ),
"")</f>
        <v>0</v>
      </c>
      <c r="D91" s="28" cm="1">
        <f t="array" ref="D91">IFERROR(
    _xlfn.XLOOKUP(
        $A91,
        Table1[Location],
        INDEX(Table1[], , MATCH(D$1, Table1[#Headers], 0))
    ),
"")</f>
        <v>0</v>
      </c>
      <c r="E91" s="28" cm="1">
        <f t="array" ref="E91">IFERROR(
    _xlfn.XLOOKUP(
        $A91,
        Table1[Location],
        INDEX(Table1[], , MATCH(E$1, Table1[#Headers], 0))
    ),
"")</f>
        <v>0</v>
      </c>
      <c r="F91" s="28" cm="1">
        <f t="array" ref="F91">IFERROR(
    _xlfn.XLOOKUP(
        $A91,
        Table1[Location],
        INDEX(Table1[], , MATCH(F$1, Table1[#Headers], 0))
    ),
"")</f>
        <v>0</v>
      </c>
      <c r="G91" s="28" cm="1">
        <f t="array" ref="G91">IFERROR(
    _xlfn.XLOOKUP(
        $A91,
        Table1[Location],
        INDEX(Table1[], , MATCH(G$1, Table1[#Headers], 0))
    ),
"")</f>
        <v>0</v>
      </c>
      <c r="H91" s="28" cm="1">
        <f t="array" ref="H91">IFERROR(
    _xlfn.XLOOKUP(
        $A91,
        Table1[Location],
        INDEX(Table1[], , MATCH(H$1, Table1[#Headers], 0))
    ),
"")</f>
        <v>0</v>
      </c>
      <c r="I91" s="28" cm="1">
        <f t="array" ref="I91">IFERROR(
    _xlfn.XLOOKUP(
        $A91,
        Table1[Location],
        INDEX(Table1[], , MATCH(I$1, Table1[#Headers], 0))
    ),
"")</f>
        <v>0</v>
      </c>
      <c r="J91" s="28" cm="1">
        <f t="array" ref="J91">IFERROR(
    _xlfn.XLOOKUP(
        $A91,
        Table1[Location],
        INDEX(Table1[], , MATCH(J$1, Table1[#Headers], 0))
    ),
"")</f>
        <v>5000</v>
      </c>
      <c r="K91" s="28" cm="1">
        <f t="array" ref="K91">IFERROR(
    _xlfn.XLOOKUP(
        $A91,
        Table1[Location],
        INDEX(Table1[], , MATCH(K$1, Table1[#Headers], 0))
    ),
"")</f>
        <v>7500</v>
      </c>
      <c r="L91" s="28" cm="1">
        <f t="array" ref="L91">IFERROR(
    _xlfn.XLOOKUP(
        $A91,
        Table1[Location],
        INDEX(Table1[], , MATCH(L$1, Table1[#Headers], 0))
    ),
"")</f>
        <v>25000</v>
      </c>
      <c r="M91" s="28" cm="1">
        <f t="array" ref="M91">IFERROR(
    _xlfn.XLOOKUP(
        $A91,
        Table1[Location],
        INDEX(Table1[], , MATCH(M$1, Table1[#Headers], 0))
    ),
"")</f>
        <v>10344.023576002621</v>
      </c>
      <c r="N91" s="28" cm="1">
        <f t="array" ref="N91">IFERROR(
    _xlfn.XLOOKUP(
        $A91,
        Table1[Location],
        INDEX(Table1[], , MATCH(N$1, Table1[#Headers], 0))
    ),
"")</f>
        <v>15718.18684900044</v>
      </c>
      <c r="O91" s="28">
        <f t="shared" si="15"/>
        <v>63562.210425003061</v>
      </c>
      <c r="Q91" s="28">
        <f t="shared" si="16"/>
        <v>0</v>
      </c>
      <c r="R91" s="28">
        <f t="shared" si="17"/>
        <v>0</v>
      </c>
      <c r="S91" s="28">
        <f t="shared" si="18"/>
        <v>0</v>
      </c>
      <c r="T91" s="28">
        <f t="shared" si="19"/>
        <v>0</v>
      </c>
      <c r="U91" s="28">
        <f t="shared" si="20"/>
        <v>0</v>
      </c>
      <c r="V91" s="28">
        <f t="shared" si="21"/>
        <v>0</v>
      </c>
      <c r="W91" s="28">
        <f t="shared" si="22"/>
        <v>0</v>
      </c>
      <c r="X91" s="28">
        <f t="shared" si="23"/>
        <v>50</v>
      </c>
      <c r="Y91" s="28">
        <f t="shared" si="24"/>
        <v>75</v>
      </c>
      <c r="Z91" s="28">
        <f t="shared" si="25"/>
        <v>250</v>
      </c>
      <c r="AA91" s="28">
        <f t="shared" si="26"/>
        <v>103.44023576002621</v>
      </c>
      <c r="AB91" s="28">
        <f t="shared" si="27"/>
        <v>157.1818684900044</v>
      </c>
      <c r="AC91" s="28">
        <f t="shared" si="28"/>
        <v>635.62210425003059</v>
      </c>
    </row>
    <row r="92" spans="1:29" x14ac:dyDescent="0.3">
      <c r="A92" s="29" t="s">
        <v>174</v>
      </c>
      <c r="B92" s="32" t="str" cm="1">
        <f t="array" ref="B92">IFERROR(
    _xlfn.XLOOKUP(
        $A92,
        Table1[Location],
        INDEX(Table1[], , MATCH(B$1, Table1[#Headers], 0))
    ),
"")</f>
        <v>TBD</v>
      </c>
      <c r="C92" s="28" cm="1">
        <f t="array" ref="C92">IFERROR(
    _xlfn.XLOOKUP(
        $A92,
        Table1[Location],
        INDEX(Table1[], , MATCH(C$1, Table1[#Headers], 0))
    ),
"")</f>
        <v>0</v>
      </c>
      <c r="D92" s="28" cm="1">
        <f t="array" ref="D92">IFERROR(
    _xlfn.XLOOKUP(
        $A92,
        Table1[Location],
        INDEX(Table1[], , MATCH(D$1, Table1[#Headers], 0))
    ),
"")</f>
        <v>0</v>
      </c>
      <c r="E92" s="28" cm="1">
        <f t="array" ref="E92">IFERROR(
    _xlfn.XLOOKUP(
        $A92,
        Table1[Location],
        INDEX(Table1[], , MATCH(E$1, Table1[#Headers], 0))
    ),
"")</f>
        <v>0</v>
      </c>
      <c r="F92" s="28" cm="1">
        <f t="array" ref="F92">IFERROR(
    _xlfn.XLOOKUP(
        $A92,
        Table1[Location],
        INDEX(Table1[], , MATCH(F$1, Table1[#Headers], 0))
    ),
"")</f>
        <v>0</v>
      </c>
      <c r="G92" s="28" cm="1">
        <f t="array" ref="G92">IFERROR(
    _xlfn.XLOOKUP(
        $A92,
        Table1[Location],
        INDEX(Table1[], , MATCH(G$1, Table1[#Headers], 0))
    ),
"")</f>
        <v>0</v>
      </c>
      <c r="H92" s="28" cm="1">
        <f t="array" ref="H92">IFERROR(
    _xlfn.XLOOKUP(
        $A92,
        Table1[Location],
        INDEX(Table1[], , MATCH(H$1, Table1[#Headers], 0))
    ),
"")</f>
        <v>0</v>
      </c>
      <c r="I92" s="28" cm="1">
        <f t="array" ref="I92">IFERROR(
    _xlfn.XLOOKUP(
        $A92,
        Table1[Location],
        INDEX(Table1[], , MATCH(I$1, Table1[#Headers], 0))
    ),
"")</f>
        <v>0</v>
      </c>
      <c r="J92" s="28" cm="1">
        <f t="array" ref="J92">IFERROR(
    _xlfn.XLOOKUP(
        $A92,
        Table1[Location],
        INDEX(Table1[], , MATCH(J$1, Table1[#Headers], 0))
    ),
"")</f>
        <v>0</v>
      </c>
      <c r="K92" s="28" cm="1">
        <f t="array" ref="K92">IFERROR(
    _xlfn.XLOOKUP(
        $A92,
        Table1[Location],
        INDEX(Table1[], , MATCH(K$1, Table1[#Headers], 0))
    ),
"")</f>
        <v>7500</v>
      </c>
      <c r="L92" s="28" cm="1">
        <f t="array" ref="L92">IFERROR(
    _xlfn.XLOOKUP(
        $A92,
        Table1[Location],
        INDEX(Table1[], , MATCH(L$1, Table1[#Headers], 0))
    ),
"")</f>
        <v>25000</v>
      </c>
      <c r="M92" s="28" cm="1">
        <f t="array" ref="M92">IFERROR(
    _xlfn.XLOOKUP(
        $A92,
        Table1[Location],
        INDEX(Table1[], , MATCH(M$1, Table1[#Headers], 0))
    ),
"")</f>
        <v>20592.191264823701</v>
      </c>
      <c r="N92" s="28" cm="1">
        <f t="array" ref="N92">IFERROR(
    _xlfn.XLOOKUP(
        $A92,
        Table1[Location],
        INDEX(Table1[], , MATCH(N$1, Table1[#Headers], 0))
    ),
"")</f>
        <v>15072.72070568028</v>
      </c>
      <c r="O92" s="28">
        <f t="shared" si="15"/>
        <v>68164.911970503977</v>
      </c>
      <c r="Q92" s="28">
        <f t="shared" si="16"/>
        <v>0</v>
      </c>
      <c r="R92" s="28">
        <f t="shared" si="17"/>
        <v>0</v>
      </c>
      <c r="S92" s="28">
        <f t="shared" si="18"/>
        <v>0</v>
      </c>
      <c r="T92" s="28">
        <f t="shared" si="19"/>
        <v>0</v>
      </c>
      <c r="U92" s="28">
        <f t="shared" si="20"/>
        <v>0</v>
      </c>
      <c r="V92" s="28">
        <f t="shared" si="21"/>
        <v>0</v>
      </c>
      <c r="W92" s="28">
        <f t="shared" si="22"/>
        <v>0</v>
      </c>
      <c r="X92" s="28">
        <f t="shared" si="23"/>
        <v>0</v>
      </c>
      <c r="Y92" s="28">
        <f t="shared" si="24"/>
        <v>75</v>
      </c>
      <c r="Z92" s="28">
        <f t="shared" si="25"/>
        <v>250</v>
      </c>
      <c r="AA92" s="28">
        <f t="shared" si="26"/>
        <v>205.92191264823703</v>
      </c>
      <c r="AB92" s="28">
        <f t="shared" si="27"/>
        <v>150.7272070568028</v>
      </c>
      <c r="AC92" s="28">
        <f t="shared" si="28"/>
        <v>681.64911970503977</v>
      </c>
    </row>
    <row r="93" spans="1:29" x14ac:dyDescent="0.3">
      <c r="A93" s="29" t="s">
        <v>175</v>
      </c>
      <c r="B93" s="32" t="str" cm="1">
        <f t="array" ref="B93">IFERROR(
    _xlfn.XLOOKUP(
        $A93,
        Table1[Location],
        INDEX(Table1[], , MATCH(B$1, Table1[#Headers], 0))
    ),
"")</f>
        <v>TBD</v>
      </c>
      <c r="C93" s="28" cm="1">
        <f t="array" ref="C93">IFERROR(
    _xlfn.XLOOKUP(
        $A93,
        Table1[Location],
        INDEX(Table1[], , MATCH(C$1, Table1[#Headers], 0))
    ),
"")</f>
        <v>0</v>
      </c>
      <c r="D93" s="28" cm="1">
        <f t="array" ref="D93">IFERROR(
    _xlfn.XLOOKUP(
        $A93,
        Table1[Location],
        INDEX(Table1[], , MATCH(D$1, Table1[#Headers], 0))
    ),
"")</f>
        <v>0</v>
      </c>
      <c r="E93" s="28" cm="1">
        <f t="array" ref="E93">IFERROR(
    _xlfn.XLOOKUP(
        $A93,
        Table1[Location],
        INDEX(Table1[], , MATCH(E$1, Table1[#Headers], 0))
    ),
"")</f>
        <v>0</v>
      </c>
      <c r="F93" s="28" cm="1">
        <f t="array" ref="F93">IFERROR(
    _xlfn.XLOOKUP(
        $A93,
        Table1[Location],
        INDEX(Table1[], , MATCH(F$1, Table1[#Headers], 0))
    ),
"")</f>
        <v>0</v>
      </c>
      <c r="G93" s="28" cm="1">
        <f t="array" ref="G93">IFERROR(
    _xlfn.XLOOKUP(
        $A93,
        Table1[Location],
        INDEX(Table1[], , MATCH(G$1, Table1[#Headers], 0))
    ),
"")</f>
        <v>0</v>
      </c>
      <c r="H93" s="28" cm="1">
        <f t="array" ref="H93">IFERROR(
    _xlfn.XLOOKUP(
        $A93,
        Table1[Location],
        INDEX(Table1[], , MATCH(H$1, Table1[#Headers], 0))
    ),
"")</f>
        <v>0</v>
      </c>
      <c r="I93" s="28" cm="1">
        <f t="array" ref="I93">IFERROR(
    _xlfn.XLOOKUP(
        $A93,
        Table1[Location],
        INDEX(Table1[], , MATCH(I$1, Table1[#Headers], 0))
    ),
"")</f>
        <v>0</v>
      </c>
      <c r="J93" s="28" cm="1">
        <f t="array" ref="J93">IFERROR(
    _xlfn.XLOOKUP(
        $A93,
        Table1[Location],
        INDEX(Table1[], , MATCH(J$1, Table1[#Headers], 0))
    ),
"")</f>
        <v>0</v>
      </c>
      <c r="K93" s="28" cm="1">
        <f t="array" ref="K93">IFERROR(
    _xlfn.XLOOKUP(
        $A93,
        Table1[Location],
        INDEX(Table1[], , MATCH(K$1, Table1[#Headers], 0))
    ),
"")</f>
        <v>5000</v>
      </c>
      <c r="L93" s="28" cm="1">
        <f t="array" ref="L93">IFERROR(
    _xlfn.XLOOKUP(
        $A93,
        Table1[Location],
        INDEX(Table1[], , MATCH(L$1, Table1[#Headers], 0))
    ),
"")</f>
        <v>7500</v>
      </c>
      <c r="M93" s="28" cm="1">
        <f t="array" ref="M93">IFERROR(
    _xlfn.XLOOKUP(
        $A93,
        Table1[Location],
        INDEX(Table1[], , MATCH(M$1, Table1[#Headers], 0))
    ),
"")</f>
        <v>15044.18679598543</v>
      </c>
      <c r="N93" s="28" cm="1">
        <f t="array" ref="N93">IFERROR(
    _xlfn.XLOOKUP(
        $A93,
        Table1[Location],
        INDEX(Table1[], , MATCH(N$1, Table1[#Headers], 0))
    ),
"")</f>
        <v>13012.411124142371</v>
      </c>
      <c r="O93" s="28">
        <f t="shared" si="15"/>
        <v>40556.597920127795</v>
      </c>
      <c r="Q93" s="28">
        <f t="shared" si="16"/>
        <v>0</v>
      </c>
      <c r="R93" s="28">
        <f t="shared" si="17"/>
        <v>0</v>
      </c>
      <c r="S93" s="28">
        <f t="shared" si="18"/>
        <v>0</v>
      </c>
      <c r="T93" s="28">
        <f t="shared" si="19"/>
        <v>0</v>
      </c>
      <c r="U93" s="28">
        <f t="shared" si="20"/>
        <v>0</v>
      </c>
      <c r="V93" s="28">
        <f t="shared" si="21"/>
        <v>0</v>
      </c>
      <c r="W93" s="28">
        <f t="shared" si="22"/>
        <v>0</v>
      </c>
      <c r="X93" s="28">
        <f t="shared" si="23"/>
        <v>0</v>
      </c>
      <c r="Y93" s="28">
        <f t="shared" si="24"/>
        <v>50</v>
      </c>
      <c r="Z93" s="28">
        <f t="shared" si="25"/>
        <v>75</v>
      </c>
      <c r="AA93" s="28">
        <f t="shared" si="26"/>
        <v>150.44186795985431</v>
      </c>
      <c r="AB93" s="28">
        <f t="shared" si="27"/>
        <v>130.12411124142372</v>
      </c>
      <c r="AC93" s="28">
        <f t="shared" si="28"/>
        <v>405.56597920127808</v>
      </c>
    </row>
    <row r="94" spans="1:29" x14ac:dyDescent="0.3">
      <c r="A94" s="29" t="s">
        <v>176</v>
      </c>
      <c r="B94" s="32" t="str" cm="1">
        <f t="array" ref="B94">IFERROR(
    _xlfn.XLOOKUP(
        $A94,
        Table1[Location],
        INDEX(Table1[], , MATCH(B$1, Table1[#Headers], 0))
    ),
"")</f>
        <v>TBD</v>
      </c>
      <c r="C94" s="28" cm="1">
        <f t="array" ref="C94">IFERROR(
    _xlfn.XLOOKUP(
        $A94,
        Table1[Location],
        INDEX(Table1[], , MATCH(C$1, Table1[#Headers], 0))
    ),
"")</f>
        <v>0</v>
      </c>
      <c r="D94" s="28" cm="1">
        <f t="array" ref="D94">IFERROR(
    _xlfn.XLOOKUP(
        $A94,
        Table1[Location],
        INDEX(Table1[], , MATCH(D$1, Table1[#Headers], 0))
    ),
"")</f>
        <v>0</v>
      </c>
      <c r="E94" s="28" cm="1">
        <f t="array" ref="E94">IFERROR(
    _xlfn.XLOOKUP(
        $A94,
        Table1[Location],
        INDEX(Table1[], , MATCH(E$1, Table1[#Headers], 0))
    ),
"")</f>
        <v>0</v>
      </c>
      <c r="F94" s="28" cm="1">
        <f t="array" ref="F94">IFERROR(
    _xlfn.XLOOKUP(
        $A94,
        Table1[Location],
        INDEX(Table1[], , MATCH(F$1, Table1[#Headers], 0))
    ),
"")</f>
        <v>0</v>
      </c>
      <c r="G94" s="28" cm="1">
        <f t="array" ref="G94">IFERROR(
    _xlfn.XLOOKUP(
        $A94,
        Table1[Location],
        INDEX(Table1[], , MATCH(G$1, Table1[#Headers], 0))
    ),
"")</f>
        <v>0</v>
      </c>
      <c r="H94" s="28" cm="1">
        <f t="array" ref="H94">IFERROR(
    _xlfn.XLOOKUP(
        $A94,
        Table1[Location],
        INDEX(Table1[], , MATCH(H$1, Table1[#Headers], 0))
    ),
"")</f>
        <v>0</v>
      </c>
      <c r="I94" s="28" cm="1">
        <f t="array" ref="I94">IFERROR(
    _xlfn.XLOOKUP(
        $A94,
        Table1[Location],
        INDEX(Table1[], , MATCH(I$1, Table1[#Headers], 0))
    ),
"")</f>
        <v>0</v>
      </c>
      <c r="J94" s="28" cm="1">
        <f t="array" ref="J94">IFERROR(
    _xlfn.XLOOKUP(
        $A94,
        Table1[Location],
        INDEX(Table1[], , MATCH(J$1, Table1[#Headers], 0))
    ),
"")</f>
        <v>0</v>
      </c>
      <c r="K94" s="28" cm="1">
        <f t="array" ref="K94">IFERROR(
    _xlfn.XLOOKUP(
        $A94,
        Table1[Location],
        INDEX(Table1[], , MATCH(K$1, Table1[#Headers], 0))
    ),
"")</f>
        <v>5000</v>
      </c>
      <c r="L94" s="28" cm="1">
        <f t="array" ref="L94">IFERROR(
    _xlfn.XLOOKUP(
        $A94,
        Table1[Location],
        INDEX(Table1[], , MATCH(L$1, Table1[#Headers], 0))
    ),
"")</f>
        <v>7500</v>
      </c>
      <c r="M94" s="28" cm="1">
        <f t="array" ref="M94">IFERROR(
    _xlfn.XLOOKUP(
        $A94,
        Table1[Location],
        INDEX(Table1[], , MATCH(M$1, Table1[#Headers], 0))
    ),
"")</f>
        <v>15044.18679598543</v>
      </c>
      <c r="N94" s="28" cm="1">
        <f t="array" ref="N94">IFERROR(
    _xlfn.XLOOKUP(
        $A94,
        Table1[Location],
        INDEX(Table1[], , MATCH(N$1, Table1[#Headers], 0))
    ),
"")</f>
        <v>13012.411124142371</v>
      </c>
      <c r="O94" s="28">
        <f t="shared" si="15"/>
        <v>40556.597920127795</v>
      </c>
      <c r="Q94" s="28">
        <f t="shared" si="16"/>
        <v>0</v>
      </c>
      <c r="R94" s="28">
        <f t="shared" si="17"/>
        <v>0</v>
      </c>
      <c r="S94" s="28">
        <f t="shared" si="18"/>
        <v>0</v>
      </c>
      <c r="T94" s="28">
        <f t="shared" si="19"/>
        <v>0</v>
      </c>
      <c r="U94" s="28">
        <f t="shared" si="20"/>
        <v>0</v>
      </c>
      <c r="V94" s="28">
        <f t="shared" si="21"/>
        <v>0</v>
      </c>
      <c r="W94" s="28">
        <f t="shared" si="22"/>
        <v>0</v>
      </c>
      <c r="X94" s="28">
        <f t="shared" si="23"/>
        <v>0</v>
      </c>
      <c r="Y94" s="28">
        <f t="shared" si="24"/>
        <v>50</v>
      </c>
      <c r="Z94" s="28">
        <f t="shared" si="25"/>
        <v>75</v>
      </c>
      <c r="AA94" s="28">
        <f t="shared" si="26"/>
        <v>150.44186795985431</v>
      </c>
      <c r="AB94" s="28">
        <f t="shared" si="27"/>
        <v>130.12411124142372</v>
      </c>
      <c r="AC94" s="28">
        <f t="shared" si="28"/>
        <v>405.56597920127808</v>
      </c>
    </row>
    <row r="95" spans="1:29" x14ac:dyDescent="0.3">
      <c r="A95" s="29" t="s">
        <v>177</v>
      </c>
      <c r="B95" s="32" t="str" cm="1">
        <f t="array" ref="B95">IFERROR(
    _xlfn.XLOOKUP(
        $A95,
        Table1[Location],
        INDEX(Table1[], , MATCH(B$1, Table1[#Headers], 0))
    ),
"")</f>
        <v>NV</v>
      </c>
      <c r="C95" s="28" cm="1">
        <f t="array" ref="C95">IFERROR(
    _xlfn.XLOOKUP(
        $A95,
        Table1[Location],
        INDEX(Table1[], , MATCH(C$1, Table1[#Headers], 0))
    ),
"")</f>
        <v>0</v>
      </c>
      <c r="D95" s="28" cm="1">
        <f t="array" ref="D95">IFERROR(
    _xlfn.XLOOKUP(
        $A95,
        Table1[Location],
        INDEX(Table1[], , MATCH(D$1, Table1[#Headers], 0))
    ),
"")</f>
        <v>0</v>
      </c>
      <c r="E95" s="28" cm="1">
        <f t="array" ref="E95">IFERROR(
    _xlfn.XLOOKUP(
        $A95,
        Table1[Location],
        INDEX(Table1[], , MATCH(E$1, Table1[#Headers], 0))
    ),
"")</f>
        <v>0</v>
      </c>
      <c r="F95" s="28" cm="1">
        <f t="array" ref="F95">IFERROR(
    _xlfn.XLOOKUP(
        $A95,
        Table1[Location],
        INDEX(Table1[], , MATCH(F$1, Table1[#Headers], 0))
    ),
"")</f>
        <v>0</v>
      </c>
      <c r="G95" s="28" cm="1">
        <f t="array" ref="G95">IFERROR(
    _xlfn.XLOOKUP(
        $A95,
        Table1[Location],
        INDEX(Table1[], , MATCH(G$1, Table1[#Headers], 0))
    ),
"")</f>
        <v>0</v>
      </c>
      <c r="H95" s="28" cm="1">
        <f t="array" ref="H95">IFERROR(
    _xlfn.XLOOKUP(
        $A95,
        Table1[Location],
        INDEX(Table1[], , MATCH(H$1, Table1[#Headers], 0))
    ),
"")</f>
        <v>0</v>
      </c>
      <c r="I95" s="28" cm="1">
        <f t="array" ref="I95">IFERROR(
    _xlfn.XLOOKUP(
        $A95,
        Table1[Location],
        INDEX(Table1[], , MATCH(I$1, Table1[#Headers], 0))
    ),
"")</f>
        <v>0</v>
      </c>
      <c r="J95" s="28" cm="1">
        <f t="array" ref="J95">IFERROR(
    _xlfn.XLOOKUP(
        $A95,
        Table1[Location],
        INDEX(Table1[], , MATCH(J$1, Table1[#Headers], 0))
    ),
"")</f>
        <v>0</v>
      </c>
      <c r="K95" s="28" cm="1">
        <f t="array" ref="K95">IFERROR(
    _xlfn.XLOOKUP(
        $A95,
        Table1[Location],
        INDEX(Table1[], , MATCH(K$1, Table1[#Headers], 0))
    ),
"")</f>
        <v>5000</v>
      </c>
      <c r="L95" s="28" cm="1">
        <f t="array" ref="L95">IFERROR(
    _xlfn.XLOOKUP(
        $A95,
        Table1[Location],
        INDEX(Table1[], , MATCH(L$1, Table1[#Headers], 0))
    ),
"")</f>
        <v>0</v>
      </c>
      <c r="M95" s="28" cm="1">
        <f t="array" ref="M95">IFERROR(
    _xlfn.XLOOKUP(
        $A95,
        Table1[Location],
        INDEX(Table1[], , MATCH(M$1, Table1[#Headers], 0))
    ),
"")</f>
        <v>0</v>
      </c>
      <c r="N95" s="28" cm="1">
        <f t="array" ref="N95">IFERROR(
    _xlfn.XLOOKUP(
        $A95,
        Table1[Location],
        INDEX(Table1[], , MATCH(N$1, Table1[#Headers], 0))
    ),
"")</f>
        <v>0</v>
      </c>
      <c r="O95" s="28">
        <f t="shared" si="15"/>
        <v>5000</v>
      </c>
      <c r="Q95" s="28">
        <f t="shared" si="16"/>
        <v>0</v>
      </c>
      <c r="R95" s="28">
        <f t="shared" si="17"/>
        <v>0</v>
      </c>
      <c r="S95" s="28">
        <f t="shared" si="18"/>
        <v>0</v>
      </c>
      <c r="T95" s="28">
        <f t="shared" si="19"/>
        <v>0</v>
      </c>
      <c r="U95" s="28">
        <f t="shared" si="20"/>
        <v>0</v>
      </c>
      <c r="V95" s="28">
        <f t="shared" si="21"/>
        <v>0</v>
      </c>
      <c r="W95" s="28">
        <f t="shared" si="22"/>
        <v>0</v>
      </c>
      <c r="X95" s="28">
        <f t="shared" si="23"/>
        <v>0</v>
      </c>
      <c r="Y95" s="28">
        <f t="shared" si="24"/>
        <v>50</v>
      </c>
      <c r="Z95" s="28">
        <f t="shared" si="25"/>
        <v>0</v>
      </c>
      <c r="AA95" s="28">
        <f t="shared" si="26"/>
        <v>0</v>
      </c>
      <c r="AB95" s="28">
        <f t="shared" si="27"/>
        <v>0</v>
      </c>
      <c r="AC95" s="28">
        <f t="shared" si="28"/>
        <v>50</v>
      </c>
    </row>
    <row r="96" spans="1:29" x14ac:dyDescent="0.3">
      <c r="A96" s="29" t="s">
        <v>178</v>
      </c>
      <c r="B96" s="32" t="str" cm="1">
        <f t="array" ref="B96">IFERROR(
    _xlfn.XLOOKUP(
        $A96,
        Table1[Location],
        INDEX(Table1[], , MATCH(B$1, Table1[#Headers], 0))
    ),
"")</f>
        <v>NY</v>
      </c>
      <c r="C96" s="28" cm="1">
        <f t="array" ref="C96">IFERROR(
    _xlfn.XLOOKUP(
        $A96,
        Table1[Location],
        INDEX(Table1[], , MATCH(C$1, Table1[#Headers], 0))
    ),
"")</f>
        <v>21315</v>
      </c>
      <c r="D96" s="28" cm="1">
        <f t="array" ref="D96">IFERROR(
    _xlfn.XLOOKUP(
        $A96,
        Table1[Location],
        INDEX(Table1[], , MATCH(D$1, Table1[#Headers], 0))
    ),
"")</f>
        <v>1303.621897</v>
      </c>
      <c r="E96" s="28" cm="1">
        <f t="array" ref="E96">IFERROR(
    _xlfn.XLOOKUP(
        $A96,
        Table1[Location],
        INDEX(Table1[], , MATCH(E$1, Table1[#Headers], 0))
    ),
"")</f>
        <v>4596</v>
      </c>
      <c r="F96" s="28" cm="1">
        <f t="array" ref="F96">IFERROR(
    _xlfn.XLOOKUP(
        $A96,
        Table1[Location],
        INDEX(Table1[], , MATCH(F$1, Table1[#Headers], 0))
    ),
"")</f>
        <v>16264</v>
      </c>
      <c r="G96" s="28" cm="1">
        <f t="array" ref="G96">IFERROR(
    _xlfn.XLOOKUP(
        $A96,
        Table1[Location],
        INDEX(Table1[], , MATCH(G$1, Table1[#Headers], 0))
    ),
"")</f>
        <v>22366</v>
      </c>
      <c r="H96" s="28" cm="1">
        <f t="array" ref="H96">IFERROR(
    _xlfn.XLOOKUP(
        $A96,
        Table1[Location],
        INDEX(Table1[], , MATCH(H$1, Table1[#Headers], 0))
    ),
"")</f>
        <v>21005</v>
      </c>
      <c r="I96" s="28" cm="1">
        <f t="array" ref="I96">IFERROR(
    _xlfn.XLOOKUP(
        $A96,
        Table1[Location],
        INDEX(Table1[], , MATCH(I$1, Table1[#Headers], 0))
    ),
"")</f>
        <v>32676</v>
      </c>
      <c r="J96" s="28" cm="1">
        <f t="array" ref="J96">IFERROR(
    _xlfn.XLOOKUP(
        $A96,
        Table1[Location],
        INDEX(Table1[], , MATCH(J$1, Table1[#Headers], 0))
    ),
"")</f>
        <v>10125</v>
      </c>
      <c r="K96" s="28" cm="1">
        <f t="array" ref="K96">IFERROR(
    _xlfn.XLOOKUP(
        $A96,
        Table1[Location],
        INDEX(Table1[], , MATCH(K$1, Table1[#Headers], 0))
    ),
"")</f>
        <v>5000</v>
      </c>
      <c r="L96" s="28" cm="1">
        <f t="array" ref="L96">IFERROR(
    _xlfn.XLOOKUP(
        $A96,
        Table1[Location],
        INDEX(Table1[], , MATCH(L$1, Table1[#Headers], 0))
    ),
"")</f>
        <v>13433</v>
      </c>
      <c r="M96" s="28" cm="1">
        <f t="array" ref="M96">IFERROR(
    _xlfn.XLOOKUP(
        $A96,
        Table1[Location],
        INDEX(Table1[], , MATCH(M$1, Table1[#Headers], 0))
    ),
"")</f>
        <v>3546</v>
      </c>
      <c r="N96" s="28" cm="1">
        <f t="array" ref="N96">IFERROR(
    _xlfn.XLOOKUP(
        $A96,
        Table1[Location],
        INDEX(Table1[], , MATCH(N$1, Table1[#Headers], 0))
    ),
"")</f>
        <v>2173.5538120000001</v>
      </c>
      <c r="O96" s="28">
        <f t="shared" si="15"/>
        <v>153803.175709</v>
      </c>
      <c r="Q96" s="28">
        <f t="shared" si="16"/>
        <v>213.15</v>
      </c>
      <c r="R96" s="28">
        <f t="shared" si="17"/>
        <v>13.03621897</v>
      </c>
      <c r="S96" s="28">
        <f t="shared" si="18"/>
        <v>45.96</v>
      </c>
      <c r="T96" s="28">
        <f t="shared" si="19"/>
        <v>162.64000000000001</v>
      </c>
      <c r="U96" s="28">
        <f t="shared" si="20"/>
        <v>223.66</v>
      </c>
      <c r="V96" s="28">
        <f t="shared" si="21"/>
        <v>210.05</v>
      </c>
      <c r="W96" s="28">
        <f t="shared" si="22"/>
        <v>326.76</v>
      </c>
      <c r="X96" s="28">
        <f t="shared" si="23"/>
        <v>101.25</v>
      </c>
      <c r="Y96" s="28">
        <f t="shared" si="24"/>
        <v>50</v>
      </c>
      <c r="Z96" s="28">
        <f t="shared" si="25"/>
        <v>134.33000000000001</v>
      </c>
      <c r="AA96" s="28">
        <f t="shared" si="26"/>
        <v>35.46</v>
      </c>
      <c r="AB96" s="28">
        <f t="shared" si="27"/>
        <v>21.735538120000001</v>
      </c>
      <c r="AC96" s="28">
        <f t="shared" si="28"/>
        <v>1538.0317570899999</v>
      </c>
    </row>
    <row r="97" spans="1:29" x14ac:dyDescent="0.3">
      <c r="A97" s="29" t="s">
        <v>179</v>
      </c>
      <c r="B97" s="32" t="str" cm="1">
        <f t="array" ref="B97">IFERROR(
    _xlfn.XLOOKUP(
        $A97,
        Table1[Location],
        INDEX(Table1[], , MATCH(B$1, Table1[#Headers], 0))
    ),
"")</f>
        <v>NY</v>
      </c>
      <c r="C97" s="28" cm="1">
        <f t="array" ref="C97">IFERROR(
    _xlfn.XLOOKUP(
        $A97,
        Table1[Location],
        INDEX(Table1[], , MATCH(C$1, Table1[#Headers], 0))
    ),
"")</f>
        <v>0</v>
      </c>
      <c r="D97" s="28" cm="1">
        <f t="array" ref="D97">IFERROR(
    _xlfn.XLOOKUP(
        $A97,
        Table1[Location],
        INDEX(Table1[], , MATCH(D$1, Table1[#Headers], 0))
    ),
"")</f>
        <v>0</v>
      </c>
      <c r="E97" s="28" cm="1">
        <f t="array" ref="E97">IFERROR(
    _xlfn.XLOOKUP(
        $A97,
        Table1[Location],
        INDEX(Table1[], , MATCH(E$1, Table1[#Headers], 0))
    ),
"")</f>
        <v>0</v>
      </c>
      <c r="F97" s="28" cm="1">
        <f t="array" ref="F97">IFERROR(
    _xlfn.XLOOKUP(
        $A97,
        Table1[Location],
        INDEX(Table1[], , MATCH(F$1, Table1[#Headers], 0))
    ),
"")</f>
        <v>0</v>
      </c>
      <c r="G97" s="28" cm="1">
        <f t="array" ref="G97">IFERROR(
    _xlfn.XLOOKUP(
        $A97,
        Table1[Location],
        INDEX(Table1[], , MATCH(G$1, Table1[#Headers], 0))
    ),
"")</f>
        <v>0</v>
      </c>
      <c r="H97" s="28" cm="1">
        <f t="array" ref="H97">IFERROR(
    _xlfn.XLOOKUP(
        $A97,
        Table1[Location],
        INDEX(Table1[], , MATCH(H$1, Table1[#Headers], 0))
    ),
"")</f>
        <v>0</v>
      </c>
      <c r="I97" s="28" cm="1">
        <f t="array" ref="I97">IFERROR(
    _xlfn.XLOOKUP(
        $A97,
        Table1[Location],
        INDEX(Table1[], , MATCH(I$1, Table1[#Headers], 0))
    ),
"")</f>
        <v>0</v>
      </c>
      <c r="J97" s="28" cm="1">
        <f t="array" ref="J97">IFERROR(
    _xlfn.XLOOKUP(
        $A97,
        Table1[Location],
        INDEX(Table1[], , MATCH(J$1, Table1[#Headers], 0))
    ),
"")</f>
        <v>0</v>
      </c>
      <c r="K97" s="28" cm="1">
        <f t="array" ref="K97">IFERROR(
    _xlfn.XLOOKUP(
        $A97,
        Table1[Location],
        INDEX(Table1[], , MATCH(K$1, Table1[#Headers], 0))
    ),
"")</f>
        <v>0</v>
      </c>
      <c r="L97" s="28" cm="1">
        <f t="array" ref="L97">IFERROR(
    _xlfn.XLOOKUP(
        $A97,
        Table1[Location],
        INDEX(Table1[], , MATCH(L$1, Table1[#Headers], 0))
    ),
"")</f>
        <v>0</v>
      </c>
      <c r="M97" s="28" cm="1">
        <f t="array" ref="M97">IFERROR(
    _xlfn.XLOOKUP(
        $A97,
        Table1[Location],
        INDEX(Table1[], , MATCH(M$1, Table1[#Headers], 0))
    ),
"")</f>
        <v>0</v>
      </c>
      <c r="N97" s="28" cm="1">
        <f t="array" ref="N97">IFERROR(
    _xlfn.XLOOKUP(
        $A97,
        Table1[Location],
        INDEX(Table1[], , MATCH(N$1, Table1[#Headers], 0))
    ),
"")</f>
        <v>0</v>
      </c>
      <c r="O97" s="28">
        <f t="shared" si="15"/>
        <v>0</v>
      </c>
      <c r="Q97" s="28">
        <f t="shared" si="16"/>
        <v>0</v>
      </c>
      <c r="R97" s="28">
        <f t="shared" si="17"/>
        <v>0</v>
      </c>
      <c r="S97" s="28">
        <f t="shared" si="18"/>
        <v>0</v>
      </c>
      <c r="T97" s="28">
        <f t="shared" si="19"/>
        <v>0</v>
      </c>
      <c r="U97" s="28">
        <f t="shared" si="20"/>
        <v>0</v>
      </c>
      <c r="V97" s="28">
        <f t="shared" si="21"/>
        <v>0</v>
      </c>
      <c r="W97" s="28">
        <f t="shared" si="22"/>
        <v>0</v>
      </c>
      <c r="X97" s="28">
        <f t="shared" si="23"/>
        <v>0</v>
      </c>
      <c r="Y97" s="28">
        <f t="shared" si="24"/>
        <v>0</v>
      </c>
      <c r="Z97" s="28">
        <f t="shared" si="25"/>
        <v>0</v>
      </c>
      <c r="AA97" s="28">
        <f t="shared" si="26"/>
        <v>0</v>
      </c>
      <c r="AB97" s="28">
        <f t="shared" si="27"/>
        <v>0</v>
      </c>
      <c r="AC97" s="28">
        <f t="shared" si="28"/>
        <v>0</v>
      </c>
    </row>
    <row r="98" spans="1:29" x14ac:dyDescent="0.3">
      <c r="A98" s="29" t="s">
        <v>180</v>
      </c>
      <c r="B98" s="32" t="str" cm="1">
        <f t="array" ref="B98">IFERROR(
    _xlfn.XLOOKUP(
        $A98,
        Table1[Location],
        INDEX(Table1[], , MATCH(B$1, Table1[#Headers], 0))
    ),
"")</f>
        <v>NY</v>
      </c>
      <c r="C98" s="28" cm="1">
        <f t="array" ref="C98">IFERROR(
    _xlfn.XLOOKUP(
        $A98,
        Table1[Location],
        INDEX(Table1[], , MATCH(C$1, Table1[#Headers], 0))
    ),
"")</f>
        <v>0</v>
      </c>
      <c r="D98" s="28" cm="1">
        <f t="array" ref="D98">IFERROR(
    _xlfn.XLOOKUP(
        $A98,
        Table1[Location],
        INDEX(Table1[], , MATCH(D$1, Table1[#Headers], 0))
    ),
"")</f>
        <v>0</v>
      </c>
      <c r="E98" s="28" cm="1">
        <f t="array" ref="E98">IFERROR(
    _xlfn.XLOOKUP(
        $A98,
        Table1[Location],
        INDEX(Table1[], , MATCH(E$1, Table1[#Headers], 0))
    ),
"")</f>
        <v>1325</v>
      </c>
      <c r="F98" s="28" cm="1">
        <f t="array" ref="F98">IFERROR(
    _xlfn.XLOOKUP(
        $A98,
        Table1[Location],
        INDEX(Table1[], , MATCH(F$1, Table1[#Headers], 0))
    ),
"")</f>
        <v>16182</v>
      </c>
      <c r="G98" s="28" cm="1">
        <f t="array" ref="G98">IFERROR(
    _xlfn.XLOOKUP(
        $A98,
        Table1[Location],
        INDEX(Table1[], , MATCH(G$1, Table1[#Headers], 0))
    ),
"")</f>
        <v>18181</v>
      </c>
      <c r="H98" s="28" cm="1">
        <f t="array" ref="H98">IFERROR(
    _xlfn.XLOOKUP(
        $A98,
        Table1[Location],
        INDEX(Table1[], , MATCH(H$1, Table1[#Headers], 0))
    ),
"")</f>
        <v>30161</v>
      </c>
      <c r="I98" s="28" cm="1">
        <f t="array" ref="I98">IFERROR(
    _xlfn.XLOOKUP(
        $A98,
        Table1[Location],
        INDEX(Table1[], , MATCH(I$1, Table1[#Headers], 0))
    ),
"")</f>
        <v>38746</v>
      </c>
      <c r="J98" s="28" cm="1">
        <f t="array" ref="J98">IFERROR(
    _xlfn.XLOOKUP(
        $A98,
        Table1[Location],
        INDEX(Table1[], , MATCH(J$1, Table1[#Headers], 0))
    ),
"")</f>
        <v>24723</v>
      </c>
      <c r="K98" s="28" cm="1">
        <f t="array" ref="K98">IFERROR(
    _xlfn.XLOOKUP(
        $A98,
        Table1[Location],
        INDEX(Table1[], , MATCH(K$1, Table1[#Headers], 0))
    ),
"")</f>
        <v>44184</v>
      </c>
      <c r="L98" s="28" cm="1">
        <f t="array" ref="L98">IFERROR(
    _xlfn.XLOOKUP(
        $A98,
        Table1[Location],
        INDEX(Table1[], , MATCH(L$1, Table1[#Headers], 0))
    ),
"")</f>
        <v>18539</v>
      </c>
      <c r="M98" s="28" cm="1">
        <f t="array" ref="M98">IFERROR(
    _xlfn.XLOOKUP(
        $A98,
        Table1[Location],
        INDEX(Table1[], , MATCH(M$1, Table1[#Headers], 0))
    ),
"")</f>
        <v>17348</v>
      </c>
      <c r="N98" s="28" cm="1">
        <f t="array" ref="N98">IFERROR(
    _xlfn.XLOOKUP(
        $A98,
        Table1[Location],
        INDEX(Table1[], , MATCH(N$1, Table1[#Headers], 0))
    ),
"")</f>
        <v>4125</v>
      </c>
      <c r="O98" s="28">
        <f t="shared" si="15"/>
        <v>213514</v>
      </c>
      <c r="Q98" s="28">
        <f t="shared" si="16"/>
        <v>0</v>
      </c>
      <c r="R98" s="28">
        <f t="shared" si="17"/>
        <v>0</v>
      </c>
      <c r="S98" s="28">
        <f t="shared" si="18"/>
        <v>13.25</v>
      </c>
      <c r="T98" s="28">
        <f t="shared" si="19"/>
        <v>161.82</v>
      </c>
      <c r="U98" s="28">
        <f t="shared" si="20"/>
        <v>181.81</v>
      </c>
      <c r="V98" s="28">
        <f t="shared" si="21"/>
        <v>301.61</v>
      </c>
      <c r="W98" s="28">
        <f t="shared" si="22"/>
        <v>387.46000000000004</v>
      </c>
      <c r="X98" s="28">
        <f t="shared" si="23"/>
        <v>247.23000000000002</v>
      </c>
      <c r="Y98" s="28">
        <f t="shared" si="24"/>
        <v>441.84000000000003</v>
      </c>
      <c r="Z98" s="28">
        <f t="shared" si="25"/>
        <v>185.39000000000001</v>
      </c>
      <c r="AA98" s="28">
        <f t="shared" si="26"/>
        <v>173.48</v>
      </c>
      <c r="AB98" s="28">
        <f t="shared" si="27"/>
        <v>41.25</v>
      </c>
      <c r="AC98" s="28">
        <f t="shared" si="28"/>
        <v>2135.14</v>
      </c>
    </row>
    <row r="99" spans="1:29" x14ac:dyDescent="0.3">
      <c r="A99" s="31" t="s">
        <v>181</v>
      </c>
      <c r="B99" s="32" t="str" cm="1">
        <f t="array" ref="B99">IFERROR(
    _xlfn.XLOOKUP(
        $A99,
        Table1[Location],
        INDEX(Table1[], , MATCH(B$1, Table1[#Headers], 0))
    ),
"")</f>
        <v>NY</v>
      </c>
      <c r="C99" s="28" cm="1">
        <f t="array" ref="C99">IFERROR(
    _xlfn.XLOOKUP(
        $A99,
        Table1[Location],
        INDEX(Table1[], , MATCH(C$1, Table1[#Headers], 0))
    ),
"")</f>
        <v>20156</v>
      </c>
      <c r="D99" s="28" cm="1">
        <f t="array" ref="D99">IFERROR(
    _xlfn.XLOOKUP(
        $A99,
        Table1[Location],
        INDEX(Table1[], , MATCH(D$1, Table1[#Headers], 0))
    ),
"")</f>
        <v>0</v>
      </c>
      <c r="E99" s="28" cm="1">
        <f t="array" ref="E99">IFERROR(
    _xlfn.XLOOKUP(
        $A99,
        Table1[Location],
        INDEX(Table1[], , MATCH(E$1, Table1[#Headers], 0))
    ),
"")</f>
        <v>10001</v>
      </c>
      <c r="F99" s="28" cm="1">
        <f t="array" ref="F99">IFERROR(
    _xlfn.XLOOKUP(
        $A99,
        Table1[Location],
        INDEX(Table1[], , MATCH(F$1, Table1[#Headers], 0))
    ),
"")</f>
        <v>51099</v>
      </c>
      <c r="G99" s="28" cm="1">
        <f t="array" ref="G99">IFERROR(
    _xlfn.XLOOKUP(
        $A99,
        Table1[Location],
        INDEX(Table1[], , MATCH(G$1, Table1[#Headers], 0))
    ),
"")</f>
        <v>66868</v>
      </c>
      <c r="H99" s="28" cm="1">
        <f t="array" ref="H99">IFERROR(
    _xlfn.XLOOKUP(
        $A99,
        Table1[Location],
        INDEX(Table1[], , MATCH(H$1, Table1[#Headers], 0))
    ),
"")</f>
        <v>40411</v>
      </c>
      <c r="I99" s="28" cm="1">
        <f t="array" ref="I99">IFERROR(
    _xlfn.XLOOKUP(
        $A99,
        Table1[Location],
        INDEX(Table1[], , MATCH(I$1, Table1[#Headers], 0))
    ),
"")</f>
        <v>59027</v>
      </c>
      <c r="J99" s="28" cm="1">
        <f t="array" ref="J99">IFERROR(
    _xlfn.XLOOKUP(
        $A99,
        Table1[Location],
        INDEX(Table1[], , MATCH(J$1, Table1[#Headers], 0))
    ),
"")</f>
        <v>68393</v>
      </c>
      <c r="K99" s="28" cm="1">
        <f t="array" ref="K99">IFERROR(
    _xlfn.XLOOKUP(
        $A99,
        Table1[Location],
        INDEX(Table1[], , MATCH(K$1, Table1[#Headers], 0))
    ),
"")</f>
        <v>40925</v>
      </c>
      <c r="L99" s="28" cm="1">
        <f t="array" ref="L99">IFERROR(
    _xlfn.XLOOKUP(
        $A99,
        Table1[Location],
        INDEX(Table1[], , MATCH(L$1, Table1[#Headers], 0))
    ),
"")</f>
        <v>38872</v>
      </c>
      <c r="M99" s="28" cm="1">
        <f t="array" ref="M99">IFERROR(
    _xlfn.XLOOKUP(
        $A99,
        Table1[Location],
        INDEX(Table1[], , MATCH(M$1, Table1[#Headers], 0))
    ),
"")</f>
        <v>26684</v>
      </c>
      <c r="N99" s="28" cm="1">
        <f t="array" ref="N99">IFERROR(
    _xlfn.XLOOKUP(
        $A99,
        Table1[Location],
        INDEX(Table1[], , MATCH(N$1, Table1[#Headers], 0))
    ),
"")</f>
        <v>15237</v>
      </c>
      <c r="O99" s="28">
        <f t="shared" si="15"/>
        <v>437673</v>
      </c>
      <c r="Q99" s="28">
        <f t="shared" si="16"/>
        <v>201.56</v>
      </c>
      <c r="R99" s="28">
        <f t="shared" si="17"/>
        <v>0</v>
      </c>
      <c r="S99" s="28">
        <f t="shared" si="18"/>
        <v>100.01</v>
      </c>
      <c r="T99" s="28">
        <f t="shared" si="19"/>
        <v>510.99</v>
      </c>
      <c r="U99" s="28">
        <f t="shared" si="20"/>
        <v>668.68000000000006</v>
      </c>
      <c r="V99" s="28">
        <f t="shared" si="21"/>
        <v>404.11</v>
      </c>
      <c r="W99" s="28">
        <f t="shared" si="22"/>
        <v>590.27</v>
      </c>
      <c r="X99" s="28">
        <f t="shared" si="23"/>
        <v>683.93000000000006</v>
      </c>
      <c r="Y99" s="28">
        <f t="shared" si="24"/>
        <v>409.25</v>
      </c>
      <c r="Z99" s="28">
        <f t="shared" si="25"/>
        <v>388.72</v>
      </c>
      <c r="AA99" s="28">
        <f t="shared" si="26"/>
        <v>266.84000000000003</v>
      </c>
      <c r="AB99" s="28">
        <f t="shared" si="27"/>
        <v>152.37</v>
      </c>
      <c r="AC99" s="28">
        <f t="shared" si="28"/>
        <v>4376.7300000000005</v>
      </c>
    </row>
    <row r="100" spans="1:29" x14ac:dyDescent="0.3">
      <c r="A100" s="29" t="s">
        <v>182</v>
      </c>
      <c r="B100" s="32" t="str" cm="1">
        <f t="array" ref="B100">IFERROR(
    _xlfn.XLOOKUP(
        $A100,
        Table1[Location],
        INDEX(Table1[], , MATCH(B$1, Table1[#Headers], 0))
    ),
"")</f>
        <v>OH</v>
      </c>
      <c r="C100" s="28" cm="1">
        <f t="array" ref="C100">IFERROR(
    _xlfn.XLOOKUP(
        $A100,
        Table1[Location],
        INDEX(Table1[], , MATCH(C$1, Table1[#Headers], 0))
    ),
"")</f>
        <v>0</v>
      </c>
      <c r="D100" s="28" cm="1">
        <f t="array" ref="D100">IFERROR(
    _xlfn.XLOOKUP(
        $A100,
        Table1[Location],
        INDEX(Table1[], , MATCH(D$1, Table1[#Headers], 0))
    ),
"")</f>
        <v>0</v>
      </c>
      <c r="E100" s="28" cm="1">
        <f t="array" ref="E100">IFERROR(
    _xlfn.XLOOKUP(
        $A100,
        Table1[Location],
        INDEX(Table1[], , MATCH(E$1, Table1[#Headers], 0))
    ),
"")</f>
        <v>1794</v>
      </c>
      <c r="F100" s="28" cm="1">
        <f t="array" ref="F100">IFERROR(
    _xlfn.XLOOKUP(
        $A100,
        Table1[Location],
        INDEX(Table1[], , MATCH(F$1, Table1[#Headers], 0))
    ),
"")</f>
        <v>1400</v>
      </c>
      <c r="G100" s="28" cm="1">
        <f t="array" ref="G100">IFERROR(
    _xlfn.XLOOKUP(
        $A100,
        Table1[Location],
        INDEX(Table1[], , MATCH(G$1, Table1[#Headers], 0))
    ),
"")</f>
        <v>9585</v>
      </c>
      <c r="H100" s="28" cm="1">
        <f t="array" ref="H100">IFERROR(
    _xlfn.XLOOKUP(
        $A100,
        Table1[Location],
        INDEX(Table1[], , MATCH(H$1, Table1[#Headers], 0))
    ),
"")</f>
        <v>26615</v>
      </c>
      <c r="I100" s="28" cm="1">
        <f t="array" ref="I100">IFERROR(
    _xlfn.XLOOKUP(
        $A100,
        Table1[Location],
        INDEX(Table1[], , MATCH(I$1, Table1[#Headers], 0))
    ),
"")</f>
        <v>16806</v>
      </c>
      <c r="J100" s="28" cm="1">
        <f t="array" ref="J100">IFERROR(
    _xlfn.XLOOKUP(
        $A100,
        Table1[Location],
        INDEX(Table1[], , MATCH(J$1, Table1[#Headers], 0))
    ),
"")</f>
        <v>29453</v>
      </c>
      <c r="K100" s="28" cm="1">
        <f t="array" ref="K100">IFERROR(
    _xlfn.XLOOKUP(
        $A100,
        Table1[Location],
        INDEX(Table1[], , MATCH(K$1, Table1[#Headers], 0))
    ),
"")</f>
        <v>36057</v>
      </c>
      <c r="L100" s="28" cm="1">
        <f t="array" ref="L100">IFERROR(
    _xlfn.XLOOKUP(
        $A100,
        Table1[Location],
        INDEX(Table1[], , MATCH(L$1, Table1[#Headers], 0))
    ),
"")</f>
        <v>20931</v>
      </c>
      <c r="M100" s="28" cm="1">
        <f t="array" ref="M100">IFERROR(
    _xlfn.XLOOKUP(
        $A100,
        Table1[Location],
        INDEX(Table1[], , MATCH(M$1, Table1[#Headers], 0))
    ),
"")</f>
        <v>6045</v>
      </c>
      <c r="N100" s="28" cm="1">
        <f t="array" ref="N100">IFERROR(
    _xlfn.XLOOKUP(
        $A100,
        Table1[Location],
        INDEX(Table1[], , MATCH(N$1, Table1[#Headers], 0))
    ),
"")</f>
        <v>10965</v>
      </c>
      <c r="O100" s="28">
        <f t="shared" si="15"/>
        <v>159651</v>
      </c>
      <c r="Q100" s="28">
        <f t="shared" si="16"/>
        <v>0</v>
      </c>
      <c r="R100" s="28">
        <f t="shared" si="17"/>
        <v>0</v>
      </c>
      <c r="S100" s="28">
        <f t="shared" si="18"/>
        <v>17.940000000000001</v>
      </c>
      <c r="T100" s="28">
        <f t="shared" si="19"/>
        <v>14</v>
      </c>
      <c r="U100" s="28">
        <f t="shared" si="20"/>
        <v>95.850000000000009</v>
      </c>
      <c r="V100" s="28">
        <f t="shared" si="21"/>
        <v>266.14999999999998</v>
      </c>
      <c r="W100" s="28">
        <f t="shared" si="22"/>
        <v>168.06</v>
      </c>
      <c r="X100" s="28">
        <f t="shared" si="23"/>
        <v>294.53000000000003</v>
      </c>
      <c r="Y100" s="28">
        <f t="shared" si="24"/>
        <v>360.57</v>
      </c>
      <c r="Z100" s="28">
        <f t="shared" si="25"/>
        <v>209.31</v>
      </c>
      <c r="AA100" s="28">
        <f t="shared" si="26"/>
        <v>60.45</v>
      </c>
      <c r="AB100" s="28">
        <f t="shared" si="27"/>
        <v>109.65</v>
      </c>
      <c r="AC100" s="28">
        <f t="shared" si="28"/>
        <v>1596.51</v>
      </c>
    </row>
    <row r="101" spans="1:29" x14ac:dyDescent="0.3">
      <c r="A101" s="29" t="s">
        <v>183</v>
      </c>
      <c r="B101" s="32" t="str" cm="1">
        <f t="array" ref="B101">IFERROR(
    _xlfn.XLOOKUP(
        $A101,
        Table1[Location],
        INDEX(Table1[], , MATCH(B$1, Table1[#Headers], 0))
    ),
"")</f>
        <v>OH</v>
      </c>
      <c r="C101" s="28" cm="1">
        <f t="array" ref="C101">IFERROR(
    _xlfn.XLOOKUP(
        $A101,
        Table1[Location],
        INDEX(Table1[], , MATCH(C$1, Table1[#Headers], 0))
    ),
"")</f>
        <v>0</v>
      </c>
      <c r="D101" s="28" cm="1">
        <f t="array" ref="D101">IFERROR(
    _xlfn.XLOOKUP(
        $A101,
        Table1[Location],
        INDEX(Table1[], , MATCH(D$1, Table1[#Headers], 0))
    ),
"")</f>
        <v>5483</v>
      </c>
      <c r="E101" s="28" cm="1">
        <f t="array" ref="E101">IFERROR(
    _xlfn.XLOOKUP(
        $A101,
        Table1[Location],
        INDEX(Table1[], , MATCH(E$1, Table1[#Headers], 0))
    ),
"")</f>
        <v>16517</v>
      </c>
      <c r="F101" s="28" cm="1">
        <f t="array" ref="F101">IFERROR(
    _xlfn.XLOOKUP(
        $A101,
        Table1[Location],
        INDEX(Table1[], , MATCH(F$1, Table1[#Headers], 0))
    ),
"")</f>
        <v>39797</v>
      </c>
      <c r="G101" s="28" cm="1">
        <f t="array" ref="G101">IFERROR(
    _xlfn.XLOOKUP(
        $A101,
        Table1[Location],
        INDEX(Table1[], , MATCH(G$1, Table1[#Headers], 0))
    ),
"")</f>
        <v>35697</v>
      </c>
      <c r="H101" s="28" cm="1">
        <f t="array" ref="H101">IFERROR(
    _xlfn.XLOOKUP(
        $A101,
        Table1[Location],
        INDEX(Table1[], , MATCH(H$1, Table1[#Headers], 0))
    ),
"")</f>
        <v>61005</v>
      </c>
      <c r="I101" s="28" cm="1">
        <f t="array" ref="I101">IFERROR(
    _xlfn.XLOOKUP(
        $A101,
        Table1[Location],
        INDEX(Table1[], , MATCH(I$1, Table1[#Headers], 0))
    ),
"")</f>
        <v>26689</v>
      </c>
      <c r="J101" s="28" cm="1">
        <f t="array" ref="J101">IFERROR(
    _xlfn.XLOOKUP(
        $A101,
        Table1[Location],
        INDEX(Table1[], , MATCH(J$1, Table1[#Headers], 0))
    ),
"")</f>
        <v>47485</v>
      </c>
      <c r="K101" s="28" cm="1">
        <f t="array" ref="K101">IFERROR(
    _xlfn.XLOOKUP(
        $A101,
        Table1[Location],
        INDEX(Table1[], , MATCH(K$1, Table1[#Headers], 0))
    ),
"")</f>
        <v>69554</v>
      </c>
      <c r="L101" s="28" cm="1">
        <f t="array" ref="L101">IFERROR(
    _xlfn.XLOOKUP(
        $A101,
        Table1[Location],
        INDEX(Table1[], , MATCH(L$1, Table1[#Headers], 0))
    ),
"")</f>
        <v>20238</v>
      </c>
      <c r="M101" s="28" cm="1">
        <f t="array" ref="M101">IFERROR(
    _xlfn.XLOOKUP(
        $A101,
        Table1[Location],
        INDEX(Table1[], , MATCH(M$1, Table1[#Headers], 0))
    ),
"")</f>
        <v>12401</v>
      </c>
      <c r="N101" s="28" cm="1">
        <f t="array" ref="N101">IFERROR(
    _xlfn.XLOOKUP(
        $A101,
        Table1[Location],
        INDEX(Table1[], , MATCH(N$1, Table1[#Headers], 0))
    ),
"")</f>
        <v>7894</v>
      </c>
      <c r="O101" s="28">
        <f t="shared" si="15"/>
        <v>342760</v>
      </c>
      <c r="Q101" s="28">
        <f t="shared" si="16"/>
        <v>0</v>
      </c>
      <c r="R101" s="28">
        <f t="shared" si="17"/>
        <v>54.83</v>
      </c>
      <c r="S101" s="28">
        <f t="shared" si="18"/>
        <v>165.17000000000002</v>
      </c>
      <c r="T101" s="28">
        <f t="shared" si="19"/>
        <v>397.97</v>
      </c>
      <c r="U101" s="28">
        <f t="shared" si="20"/>
        <v>356.97</v>
      </c>
      <c r="V101" s="28">
        <f t="shared" si="21"/>
        <v>610.05000000000007</v>
      </c>
      <c r="W101" s="28">
        <f t="shared" si="22"/>
        <v>266.89</v>
      </c>
      <c r="X101" s="28">
        <f t="shared" si="23"/>
        <v>474.85</v>
      </c>
      <c r="Y101" s="28">
        <f t="shared" si="24"/>
        <v>695.54</v>
      </c>
      <c r="Z101" s="28">
        <f t="shared" si="25"/>
        <v>202.38</v>
      </c>
      <c r="AA101" s="28">
        <f t="shared" si="26"/>
        <v>124.01</v>
      </c>
      <c r="AB101" s="28">
        <f t="shared" si="27"/>
        <v>78.94</v>
      </c>
      <c r="AC101" s="28">
        <f t="shared" si="28"/>
        <v>3427.6000000000004</v>
      </c>
    </row>
    <row r="102" spans="1:29" x14ac:dyDescent="0.3">
      <c r="A102" s="29" t="s">
        <v>184</v>
      </c>
      <c r="B102" s="32" t="str" cm="1">
        <f t="array" ref="B102">IFERROR(
    _xlfn.XLOOKUP(
        $A102,
        Table1[Location],
        INDEX(Table1[], , MATCH(B$1, Table1[#Headers], 0))
    ),
"")</f>
        <v>OH</v>
      </c>
      <c r="C102" s="28" cm="1">
        <f t="array" ref="C102">IFERROR(
    _xlfn.XLOOKUP(
        $A102,
        Table1[Location],
        INDEX(Table1[], , MATCH(C$1, Table1[#Headers], 0))
    ),
"")</f>
        <v>0</v>
      </c>
      <c r="D102" s="28" cm="1">
        <f t="array" ref="D102">IFERROR(
    _xlfn.XLOOKUP(
        $A102,
        Table1[Location],
        INDEX(Table1[], , MATCH(D$1, Table1[#Headers], 0))
    ),
"")</f>
        <v>0</v>
      </c>
      <c r="E102" s="28" cm="1">
        <f t="array" ref="E102">IFERROR(
    _xlfn.XLOOKUP(
        $A102,
        Table1[Location],
        INDEX(Table1[], , MATCH(E$1, Table1[#Headers], 0))
    ),
"")</f>
        <v>0</v>
      </c>
      <c r="F102" s="28" cm="1">
        <f t="array" ref="F102">IFERROR(
    _xlfn.XLOOKUP(
        $A102,
        Table1[Location],
        INDEX(Table1[], , MATCH(F$1, Table1[#Headers], 0))
    ),
"")</f>
        <v>0</v>
      </c>
      <c r="G102" s="28" cm="1">
        <f t="array" ref="G102">IFERROR(
    _xlfn.XLOOKUP(
        $A102,
        Table1[Location],
        INDEX(Table1[], , MATCH(G$1, Table1[#Headers], 0))
    ),
"")</f>
        <v>0</v>
      </c>
      <c r="H102" s="28" cm="1">
        <f t="array" ref="H102">IFERROR(
    _xlfn.XLOOKUP(
        $A102,
        Table1[Location],
        INDEX(Table1[], , MATCH(H$1, Table1[#Headers], 0))
    ),
"")</f>
        <v>0</v>
      </c>
      <c r="I102" s="28" cm="1">
        <f t="array" ref="I102">IFERROR(
    _xlfn.XLOOKUP(
        $A102,
        Table1[Location],
        INDEX(Table1[], , MATCH(I$1, Table1[#Headers], 0))
    ),
"")</f>
        <v>0</v>
      </c>
      <c r="J102" s="28" cm="1">
        <f t="array" ref="J102">IFERROR(
    _xlfn.XLOOKUP(
        $A102,
        Table1[Location],
        INDEX(Table1[], , MATCH(J$1, Table1[#Headers], 0))
    ),
"")</f>
        <v>0</v>
      </c>
      <c r="K102" s="28" cm="1">
        <f t="array" ref="K102">IFERROR(
    _xlfn.XLOOKUP(
        $A102,
        Table1[Location],
        INDEX(Table1[], , MATCH(K$1, Table1[#Headers], 0))
    ),
"")</f>
        <v>0</v>
      </c>
      <c r="L102" s="28" cm="1">
        <f t="array" ref="L102">IFERROR(
    _xlfn.XLOOKUP(
        $A102,
        Table1[Location],
        INDEX(Table1[], , MATCH(L$1, Table1[#Headers], 0))
    ),
"")</f>
        <v>0</v>
      </c>
      <c r="M102" s="28" cm="1">
        <f t="array" ref="M102">IFERROR(
    _xlfn.XLOOKUP(
        $A102,
        Table1[Location],
        INDEX(Table1[], , MATCH(M$1, Table1[#Headers], 0))
    ),
"")</f>
        <v>0</v>
      </c>
      <c r="N102" s="28" cm="1">
        <f t="array" ref="N102">IFERROR(
    _xlfn.XLOOKUP(
        $A102,
        Table1[Location],
        INDEX(Table1[], , MATCH(N$1, Table1[#Headers], 0))
    ),
"")</f>
        <v>0</v>
      </c>
      <c r="O102" s="28">
        <f t="shared" si="15"/>
        <v>0</v>
      </c>
      <c r="Q102" s="28">
        <f t="shared" si="16"/>
        <v>0</v>
      </c>
      <c r="R102" s="28">
        <f t="shared" si="17"/>
        <v>0</v>
      </c>
      <c r="S102" s="28">
        <f t="shared" si="18"/>
        <v>0</v>
      </c>
      <c r="T102" s="28">
        <f t="shared" si="19"/>
        <v>0</v>
      </c>
      <c r="U102" s="28">
        <f t="shared" si="20"/>
        <v>0</v>
      </c>
      <c r="V102" s="28">
        <f t="shared" si="21"/>
        <v>0</v>
      </c>
      <c r="W102" s="28">
        <f t="shared" si="22"/>
        <v>0</v>
      </c>
      <c r="X102" s="28">
        <f t="shared" si="23"/>
        <v>0</v>
      </c>
      <c r="Y102" s="28">
        <f t="shared" si="24"/>
        <v>0</v>
      </c>
      <c r="Z102" s="28">
        <f t="shared" si="25"/>
        <v>0</v>
      </c>
      <c r="AA102" s="28">
        <f t="shared" si="26"/>
        <v>0</v>
      </c>
      <c r="AB102" s="28">
        <f t="shared" si="27"/>
        <v>0</v>
      </c>
      <c r="AC102" s="28">
        <f t="shared" si="28"/>
        <v>0</v>
      </c>
    </row>
    <row r="103" spans="1:29" x14ac:dyDescent="0.3">
      <c r="A103" s="29" t="s">
        <v>185</v>
      </c>
      <c r="B103" s="32" t="str" cm="1">
        <f t="array" ref="B103">IFERROR(
    _xlfn.XLOOKUP(
        $A103,
        Table1[Location],
        INDEX(Table1[], , MATCH(B$1, Table1[#Headers], 0))
    ),
"")</f>
        <v>OK</v>
      </c>
      <c r="C103" s="28" cm="1">
        <f t="array" ref="C103">IFERROR(
    _xlfn.XLOOKUP(
        $A103,
        Table1[Location],
        INDEX(Table1[], , MATCH(C$1, Table1[#Headers], 0))
    ),
"")</f>
        <v>0</v>
      </c>
      <c r="D103" s="28" cm="1">
        <f t="array" ref="D103">IFERROR(
    _xlfn.XLOOKUP(
        $A103,
        Table1[Location],
        INDEX(Table1[], , MATCH(D$1, Table1[#Headers], 0))
    ),
"")</f>
        <v>0</v>
      </c>
      <c r="E103" s="28" cm="1">
        <f t="array" ref="E103">IFERROR(
    _xlfn.XLOOKUP(
        $A103,
        Table1[Location],
        INDEX(Table1[], , MATCH(E$1, Table1[#Headers], 0))
    ),
"")</f>
        <v>0</v>
      </c>
      <c r="F103" s="28" cm="1">
        <f t="array" ref="F103">IFERROR(
    _xlfn.XLOOKUP(
        $A103,
        Table1[Location],
        INDEX(Table1[], , MATCH(F$1, Table1[#Headers], 0))
    ),
"")</f>
        <v>0</v>
      </c>
      <c r="G103" s="28" cm="1">
        <f t="array" ref="G103">IFERROR(
    _xlfn.XLOOKUP(
        $A103,
        Table1[Location],
        INDEX(Table1[], , MATCH(G$1, Table1[#Headers], 0))
    ),
"")</f>
        <v>0</v>
      </c>
      <c r="H103" s="28" cm="1">
        <f t="array" ref="H103">IFERROR(
    _xlfn.XLOOKUP(
        $A103,
        Table1[Location],
        INDEX(Table1[], , MATCH(H$1, Table1[#Headers], 0))
    ),
"")</f>
        <v>0</v>
      </c>
      <c r="I103" s="28" cm="1">
        <f t="array" ref="I103">IFERROR(
    _xlfn.XLOOKUP(
        $A103,
        Table1[Location],
        INDEX(Table1[], , MATCH(I$1, Table1[#Headers], 0))
    ),
"")</f>
        <v>0</v>
      </c>
      <c r="J103" s="28" cm="1">
        <f t="array" ref="J103">IFERROR(
    _xlfn.XLOOKUP(
        $A103,
        Table1[Location],
        INDEX(Table1[], , MATCH(J$1, Table1[#Headers], 0))
    ),
"")</f>
        <v>0</v>
      </c>
      <c r="K103" s="28" cm="1">
        <f t="array" ref="K103">IFERROR(
    _xlfn.XLOOKUP(
        $A103,
        Table1[Location],
        INDEX(Table1[], , MATCH(K$1, Table1[#Headers], 0))
    ),
"")</f>
        <v>0</v>
      </c>
      <c r="L103" s="28" cm="1">
        <f t="array" ref="L103">IFERROR(
    _xlfn.XLOOKUP(
        $A103,
        Table1[Location],
        INDEX(Table1[], , MATCH(L$1, Table1[#Headers], 0))
    ),
"")</f>
        <v>0</v>
      </c>
      <c r="M103" s="28" cm="1">
        <f t="array" ref="M103">IFERROR(
    _xlfn.XLOOKUP(
        $A103,
        Table1[Location],
        INDEX(Table1[], , MATCH(M$1, Table1[#Headers], 0))
    ),
"")</f>
        <v>0</v>
      </c>
      <c r="N103" s="28" cm="1">
        <f t="array" ref="N103">IFERROR(
    _xlfn.XLOOKUP(
        $A103,
        Table1[Location],
        INDEX(Table1[], , MATCH(N$1, Table1[#Headers], 0))
    ),
"")</f>
        <v>0</v>
      </c>
      <c r="O103" s="28">
        <f t="shared" si="15"/>
        <v>0</v>
      </c>
      <c r="Q103" s="28">
        <f t="shared" si="16"/>
        <v>0</v>
      </c>
      <c r="R103" s="28">
        <f t="shared" si="17"/>
        <v>0</v>
      </c>
      <c r="S103" s="28">
        <f t="shared" si="18"/>
        <v>0</v>
      </c>
      <c r="T103" s="28">
        <f t="shared" si="19"/>
        <v>0</v>
      </c>
      <c r="U103" s="28">
        <f t="shared" si="20"/>
        <v>0</v>
      </c>
      <c r="V103" s="28">
        <f t="shared" si="21"/>
        <v>0</v>
      </c>
      <c r="W103" s="28">
        <f t="shared" si="22"/>
        <v>0</v>
      </c>
      <c r="X103" s="28">
        <f t="shared" si="23"/>
        <v>0</v>
      </c>
      <c r="Y103" s="28">
        <f t="shared" si="24"/>
        <v>0</v>
      </c>
      <c r="Z103" s="28">
        <f t="shared" si="25"/>
        <v>0</v>
      </c>
      <c r="AA103" s="28">
        <f t="shared" si="26"/>
        <v>0</v>
      </c>
      <c r="AB103" s="28">
        <f t="shared" si="27"/>
        <v>0</v>
      </c>
      <c r="AC103" s="28">
        <f t="shared" si="28"/>
        <v>0</v>
      </c>
    </row>
    <row r="104" spans="1:29" x14ac:dyDescent="0.3">
      <c r="A104" s="29" t="s">
        <v>186</v>
      </c>
      <c r="B104" s="32" t="str" cm="1">
        <f t="array" ref="B104">IFERROR(
    _xlfn.XLOOKUP(
        $A104,
        Table1[Location],
        INDEX(Table1[], , MATCH(B$1, Table1[#Headers], 0))
    ),
"")</f>
        <v>OK</v>
      </c>
      <c r="C104" s="28" cm="1">
        <f t="array" ref="C104">IFERROR(
    _xlfn.XLOOKUP(
        $A104,
        Table1[Location],
        INDEX(Table1[], , MATCH(C$1, Table1[#Headers], 0))
    ),
"")</f>
        <v>0</v>
      </c>
      <c r="D104" s="28" cm="1">
        <f t="array" ref="D104">IFERROR(
    _xlfn.XLOOKUP(
        $A104,
        Table1[Location],
        INDEX(Table1[], , MATCH(D$1, Table1[#Headers], 0))
    ),
"")</f>
        <v>2242.332069</v>
      </c>
      <c r="E104" s="28" cm="1">
        <f t="array" ref="E104">IFERROR(
    _xlfn.XLOOKUP(
        $A104,
        Table1[Location],
        INDEX(Table1[], , MATCH(E$1, Table1[#Headers], 0))
    ),
"")</f>
        <v>5077.9268840000004</v>
      </c>
      <c r="F104" s="28" cm="1">
        <f t="array" ref="F104">IFERROR(
    _xlfn.XLOOKUP(
        $A104,
        Table1[Location],
        INDEX(Table1[], , MATCH(F$1, Table1[#Headers], 0))
    ),
"")</f>
        <v>10321</v>
      </c>
      <c r="G104" s="28" cm="1">
        <f t="array" ref="G104">IFERROR(
    _xlfn.XLOOKUP(
        $A104,
        Table1[Location],
        INDEX(Table1[], , MATCH(G$1, Table1[#Headers], 0))
    ),
"")</f>
        <v>13192</v>
      </c>
      <c r="H104" s="28" cm="1">
        <f t="array" ref="H104">IFERROR(
    _xlfn.XLOOKUP(
        $A104,
        Table1[Location],
        INDEX(Table1[], , MATCH(H$1, Table1[#Headers], 0))
    ),
"")</f>
        <v>18256</v>
      </c>
      <c r="I104" s="28" cm="1">
        <f t="array" ref="I104">IFERROR(
    _xlfn.XLOOKUP(
        $A104,
        Table1[Location],
        INDEX(Table1[], , MATCH(I$1, Table1[#Headers], 0))
    ),
"")</f>
        <v>15420</v>
      </c>
      <c r="J104" s="28" cm="1">
        <f t="array" ref="J104">IFERROR(
    _xlfn.XLOOKUP(
        $A104,
        Table1[Location],
        INDEX(Table1[], , MATCH(J$1, Table1[#Headers], 0))
    ),
"")</f>
        <v>11244</v>
      </c>
      <c r="K104" s="28" cm="1">
        <f t="array" ref="K104">IFERROR(
    _xlfn.XLOOKUP(
        $A104,
        Table1[Location],
        INDEX(Table1[], , MATCH(K$1, Table1[#Headers], 0))
    ),
"")</f>
        <v>16225</v>
      </c>
      <c r="L104" s="28" cm="1">
        <f t="array" ref="L104">IFERROR(
    _xlfn.XLOOKUP(
        $A104,
        Table1[Location],
        INDEX(Table1[], , MATCH(L$1, Table1[#Headers], 0))
    ),
"")</f>
        <v>27221</v>
      </c>
      <c r="M104" s="28" cm="1">
        <f t="array" ref="M104">IFERROR(
    _xlfn.XLOOKUP(
        $A104,
        Table1[Location],
        INDEX(Table1[], , MATCH(M$1, Table1[#Headers], 0))
    ),
"")</f>
        <v>17555</v>
      </c>
      <c r="N104" s="28" cm="1">
        <f t="array" ref="N104">IFERROR(
    _xlfn.XLOOKUP(
        $A104,
        Table1[Location],
        INDEX(Table1[], , MATCH(N$1, Table1[#Headers], 0))
    ),
"")</f>
        <v>1789.843535</v>
      </c>
      <c r="O104" s="28">
        <f t="shared" si="15"/>
        <v>138544.102488</v>
      </c>
      <c r="Q104" s="28">
        <f t="shared" si="16"/>
        <v>0</v>
      </c>
      <c r="R104" s="28">
        <f t="shared" si="17"/>
        <v>22.423320690000001</v>
      </c>
      <c r="S104" s="28">
        <f t="shared" si="18"/>
        <v>50.779268840000007</v>
      </c>
      <c r="T104" s="28">
        <f t="shared" si="19"/>
        <v>103.21000000000001</v>
      </c>
      <c r="U104" s="28">
        <f t="shared" si="20"/>
        <v>131.92000000000002</v>
      </c>
      <c r="V104" s="28">
        <f t="shared" si="21"/>
        <v>182.56</v>
      </c>
      <c r="W104" s="28">
        <f t="shared" si="22"/>
        <v>154.20000000000002</v>
      </c>
      <c r="X104" s="28">
        <f t="shared" si="23"/>
        <v>112.44</v>
      </c>
      <c r="Y104" s="28">
        <f t="shared" si="24"/>
        <v>162.25</v>
      </c>
      <c r="Z104" s="28">
        <f t="shared" si="25"/>
        <v>272.20999999999998</v>
      </c>
      <c r="AA104" s="28">
        <f t="shared" si="26"/>
        <v>175.55</v>
      </c>
      <c r="AB104" s="28">
        <f t="shared" si="27"/>
        <v>17.89843535</v>
      </c>
      <c r="AC104" s="28">
        <f t="shared" si="28"/>
        <v>1385.44102488</v>
      </c>
    </row>
    <row r="105" spans="1:29" x14ac:dyDescent="0.3">
      <c r="A105" s="31" t="s">
        <v>187</v>
      </c>
      <c r="B105" s="32" t="str" cm="1">
        <f t="array" ref="B105">IFERROR(
    _xlfn.XLOOKUP(
        $A105,
        Table1[Location],
        INDEX(Table1[], , MATCH(B$1, Table1[#Headers], 0))
    ),
"")</f>
        <v>OR</v>
      </c>
      <c r="C105" s="28" cm="1">
        <f t="array" ref="C105">IFERROR(
    _xlfn.XLOOKUP(
        $A105,
        Table1[Location],
        INDEX(Table1[], , MATCH(C$1, Table1[#Headers], 0))
    ),
"")</f>
        <v>0</v>
      </c>
      <c r="D105" s="28" cm="1">
        <f t="array" ref="D105">IFERROR(
    _xlfn.XLOOKUP(
        $A105,
        Table1[Location],
        INDEX(Table1[], , MATCH(D$1, Table1[#Headers], 0))
    ),
"")</f>
        <v>0</v>
      </c>
      <c r="E105" s="28" cm="1">
        <f t="array" ref="E105">IFERROR(
    _xlfn.XLOOKUP(
        $A105,
        Table1[Location],
        INDEX(Table1[], , MATCH(E$1, Table1[#Headers], 0))
    ),
"")</f>
        <v>1196.58079</v>
      </c>
      <c r="F105" s="28" cm="1">
        <f t="array" ref="F105">IFERROR(
    _xlfn.XLOOKUP(
        $A105,
        Table1[Location],
        INDEX(Table1[], , MATCH(F$1, Table1[#Headers], 0))
    ),
"")</f>
        <v>10126.693395</v>
      </c>
      <c r="G105" s="28" cm="1">
        <f t="array" ref="G105">IFERROR(
    _xlfn.XLOOKUP(
        $A105,
        Table1[Location],
        INDEX(Table1[], , MATCH(G$1, Table1[#Headers], 0))
    ),
"")</f>
        <v>2910.0040399999998</v>
      </c>
      <c r="H105" s="28" cm="1">
        <f t="array" ref="H105">IFERROR(
    _xlfn.XLOOKUP(
        $A105,
        Table1[Location],
        INDEX(Table1[], , MATCH(H$1, Table1[#Headers], 0))
    ),
"")</f>
        <v>6954.2460060000003</v>
      </c>
      <c r="I105" s="28" cm="1">
        <f t="array" ref="I105">IFERROR(
    _xlfn.XLOOKUP(
        $A105,
        Table1[Location],
        INDEX(Table1[], , MATCH(I$1, Table1[#Headers], 0))
    ),
"")</f>
        <v>11813.771757</v>
      </c>
      <c r="J105" s="28" cm="1">
        <f t="array" ref="J105">IFERROR(
    _xlfn.XLOOKUP(
        $A105,
        Table1[Location],
        INDEX(Table1[], , MATCH(J$1, Table1[#Headers], 0))
    ),
"")</f>
        <v>8895.4218170000004</v>
      </c>
      <c r="K105" s="28" cm="1">
        <f t="array" ref="K105">IFERROR(
    _xlfn.XLOOKUP(
        $A105,
        Table1[Location],
        INDEX(Table1[], , MATCH(K$1, Table1[#Headers], 0))
    ),
"")</f>
        <v>11400.700002</v>
      </c>
      <c r="L105" s="28" cm="1">
        <f t="array" ref="L105">IFERROR(
    _xlfn.XLOOKUP(
        $A105,
        Table1[Location],
        INDEX(Table1[], , MATCH(L$1, Table1[#Headers], 0))
    ),
"")</f>
        <v>3106.0019619999998</v>
      </c>
      <c r="M105" s="28" cm="1">
        <f t="array" ref="M105">IFERROR(
    _xlfn.XLOOKUP(
        $A105,
        Table1[Location],
        INDEX(Table1[], , MATCH(M$1, Table1[#Headers], 0))
    ),
"")</f>
        <v>361.99082700000002</v>
      </c>
      <c r="N105" s="28" cm="1">
        <f t="array" ref="N105">IFERROR(
    _xlfn.XLOOKUP(
        $A105,
        Table1[Location],
        INDEX(Table1[], , MATCH(N$1, Table1[#Headers], 0))
    ),
"")</f>
        <v>7536.4479199999996</v>
      </c>
      <c r="O105" s="28">
        <f t="shared" si="15"/>
        <v>64301.858516</v>
      </c>
      <c r="Q105" s="28">
        <f t="shared" si="16"/>
        <v>0</v>
      </c>
      <c r="R105" s="28">
        <f t="shared" si="17"/>
        <v>0</v>
      </c>
      <c r="S105" s="28">
        <f t="shared" si="18"/>
        <v>11.9658079</v>
      </c>
      <c r="T105" s="28">
        <f t="shared" si="19"/>
        <v>101.26693395000001</v>
      </c>
      <c r="U105" s="28">
        <f t="shared" si="20"/>
        <v>29.100040399999997</v>
      </c>
      <c r="V105" s="28">
        <f t="shared" si="21"/>
        <v>69.54246006000001</v>
      </c>
      <c r="W105" s="28">
        <f t="shared" si="22"/>
        <v>118.13771757000001</v>
      </c>
      <c r="X105" s="28">
        <f t="shared" si="23"/>
        <v>88.954218170000004</v>
      </c>
      <c r="Y105" s="28">
        <f t="shared" si="24"/>
        <v>114.00700001999999</v>
      </c>
      <c r="Z105" s="28">
        <f t="shared" si="25"/>
        <v>31.060019619999998</v>
      </c>
      <c r="AA105" s="28">
        <f t="shared" si="26"/>
        <v>3.6199082700000003</v>
      </c>
      <c r="AB105" s="28">
        <f t="shared" si="27"/>
        <v>75.364479199999991</v>
      </c>
      <c r="AC105" s="28">
        <f t="shared" si="28"/>
        <v>643.01858516000004</v>
      </c>
    </row>
    <row r="106" spans="1:29" x14ac:dyDescent="0.3">
      <c r="A106" s="29" t="s">
        <v>189</v>
      </c>
      <c r="B106" s="32" t="str" cm="1">
        <f t="array" ref="B106">IFERROR(
    _xlfn.XLOOKUP(
        $A106,
        Table1[Location],
        INDEX(Table1[], , MATCH(B$1, Table1[#Headers], 0))
    ),
"")</f>
        <v>OR</v>
      </c>
      <c r="C106" s="28" cm="1">
        <f t="array" ref="C106">IFERROR(
    _xlfn.XLOOKUP(
        $A106,
        Table1[Location],
        INDEX(Table1[], , MATCH(C$1, Table1[#Headers], 0))
    ),
"")</f>
        <v>0</v>
      </c>
      <c r="D106" s="28" cm="1">
        <f t="array" ref="D106">IFERROR(
    _xlfn.XLOOKUP(
        $A106,
        Table1[Location],
        INDEX(Table1[], , MATCH(D$1, Table1[#Headers], 0))
    ),
"")</f>
        <v>0</v>
      </c>
      <c r="E106" s="28" cm="1">
        <f t="array" ref="E106">IFERROR(
    _xlfn.XLOOKUP(
        $A106,
        Table1[Location],
        INDEX(Table1[], , MATCH(E$1, Table1[#Headers], 0))
    ),
"")</f>
        <v>10230</v>
      </c>
      <c r="F106" s="28" cm="1">
        <f t="array" ref="F106">IFERROR(
    _xlfn.XLOOKUP(
        $A106,
        Table1[Location],
        INDEX(Table1[], , MATCH(F$1, Table1[#Headers], 0))
    ),
"")</f>
        <v>15365</v>
      </c>
      <c r="G106" s="28" cm="1">
        <f t="array" ref="G106">IFERROR(
    _xlfn.XLOOKUP(
        $A106,
        Table1[Location],
        INDEX(Table1[], , MATCH(G$1, Table1[#Headers], 0))
    ),
"")</f>
        <v>18265</v>
      </c>
      <c r="H106" s="28" cm="1">
        <f t="array" ref="H106">IFERROR(
    _xlfn.XLOOKUP(
        $A106,
        Table1[Location],
        INDEX(Table1[], , MATCH(H$1, Table1[#Headers], 0))
    ),
"")</f>
        <v>22320</v>
      </c>
      <c r="I106" s="28" cm="1">
        <f t="array" ref="I106">IFERROR(
    _xlfn.XLOOKUP(
        $A106,
        Table1[Location],
        INDEX(Table1[], , MATCH(I$1, Table1[#Headers], 0))
    ),
"")</f>
        <v>21410</v>
      </c>
      <c r="J106" s="28" cm="1">
        <f t="array" ref="J106">IFERROR(
    _xlfn.XLOOKUP(
        $A106,
        Table1[Location],
        INDEX(Table1[], , MATCH(J$1, Table1[#Headers], 0))
    ),
"")</f>
        <v>18622</v>
      </c>
      <c r="K106" s="28" cm="1">
        <f t="array" ref="K106">IFERROR(
    _xlfn.XLOOKUP(
        $A106,
        Table1[Location],
        INDEX(Table1[], , MATCH(K$1, Table1[#Headers], 0))
    ),
"")</f>
        <v>28650</v>
      </c>
      <c r="L106" s="28" cm="1">
        <f t="array" ref="L106">IFERROR(
    _xlfn.XLOOKUP(
        $A106,
        Table1[Location],
        INDEX(Table1[], , MATCH(L$1, Table1[#Headers], 0))
    ),
"")</f>
        <v>26541</v>
      </c>
      <c r="M106" s="28" cm="1">
        <f t="array" ref="M106">IFERROR(
    _xlfn.XLOOKUP(
        $A106,
        Table1[Location],
        INDEX(Table1[], , MATCH(M$1, Table1[#Headers], 0))
    ),
"")</f>
        <v>11374</v>
      </c>
      <c r="N106" s="28" cm="1">
        <f t="array" ref="N106">IFERROR(
    _xlfn.XLOOKUP(
        $A106,
        Table1[Location],
        INDEX(Table1[], , MATCH(N$1, Table1[#Headers], 0))
    ),
"")</f>
        <v>1905.433707955556</v>
      </c>
      <c r="O106" s="28">
        <f t="shared" si="15"/>
        <v>174682.43370795556</v>
      </c>
      <c r="Q106" s="28">
        <f t="shared" si="16"/>
        <v>0</v>
      </c>
      <c r="R106" s="28">
        <f t="shared" si="17"/>
        <v>0</v>
      </c>
      <c r="S106" s="28">
        <f t="shared" si="18"/>
        <v>102.3</v>
      </c>
      <c r="T106" s="28">
        <f t="shared" si="19"/>
        <v>153.65</v>
      </c>
      <c r="U106" s="28">
        <f t="shared" si="20"/>
        <v>182.65</v>
      </c>
      <c r="V106" s="28">
        <f t="shared" si="21"/>
        <v>223.20000000000002</v>
      </c>
      <c r="W106" s="28">
        <f t="shared" si="22"/>
        <v>214.1</v>
      </c>
      <c r="X106" s="28">
        <f t="shared" si="23"/>
        <v>186.22</v>
      </c>
      <c r="Y106" s="28">
        <f t="shared" si="24"/>
        <v>286.5</v>
      </c>
      <c r="Z106" s="28">
        <f t="shared" si="25"/>
        <v>265.41000000000003</v>
      </c>
      <c r="AA106" s="28">
        <f t="shared" si="26"/>
        <v>113.74000000000001</v>
      </c>
      <c r="AB106" s="28">
        <f t="shared" si="27"/>
        <v>19.054337079555559</v>
      </c>
      <c r="AC106" s="28">
        <f t="shared" si="28"/>
        <v>1746.8243370795558</v>
      </c>
    </row>
    <row r="107" spans="1:29" x14ac:dyDescent="0.3">
      <c r="A107" s="29" t="s">
        <v>190</v>
      </c>
      <c r="B107" s="32" t="str" cm="1">
        <f t="array" ref="B107">IFERROR(
    _xlfn.XLOOKUP(
        $A107,
        Table1[Location],
        INDEX(Table1[], , MATCH(B$1, Table1[#Headers], 0))
    ),
"")</f>
        <v>PA</v>
      </c>
      <c r="C107" s="28" cm="1">
        <f t="array" ref="C107">IFERROR(
    _xlfn.XLOOKUP(
        $A107,
        Table1[Location],
        INDEX(Table1[], , MATCH(C$1, Table1[#Headers], 0))
    ),
"")</f>
        <v>1973.0795210000001</v>
      </c>
      <c r="D107" s="28" cm="1">
        <f t="array" ref="D107">IFERROR(
    _xlfn.XLOOKUP(
        $A107,
        Table1[Location],
        INDEX(Table1[], , MATCH(D$1, Table1[#Headers], 0))
    ),
"")</f>
        <v>1973.0795210000001</v>
      </c>
      <c r="E107" s="28" cm="1">
        <f t="array" ref="E107">IFERROR(
    _xlfn.XLOOKUP(
        $A107,
        Table1[Location],
        INDEX(Table1[], , MATCH(E$1, Table1[#Headers], 0))
    ),
"")</f>
        <v>27740</v>
      </c>
      <c r="F107" s="28" cm="1">
        <f t="array" ref="F107">IFERROR(
    _xlfn.XLOOKUP(
        $A107,
        Table1[Location],
        INDEX(Table1[], , MATCH(F$1, Table1[#Headers], 0))
    ),
"")</f>
        <v>47168</v>
      </c>
      <c r="G107" s="28" cm="1">
        <f t="array" ref="G107">IFERROR(
    _xlfn.XLOOKUP(
        $A107,
        Table1[Location],
        INDEX(Table1[], , MATCH(G$1, Table1[#Headers], 0))
    ),
"")</f>
        <v>79910</v>
      </c>
      <c r="H107" s="28" cm="1">
        <f t="array" ref="H107">IFERROR(
    _xlfn.XLOOKUP(
        $A107,
        Table1[Location],
        INDEX(Table1[], , MATCH(H$1, Table1[#Headers], 0))
    ),
"")</f>
        <v>85576</v>
      </c>
      <c r="I107" s="28" cm="1">
        <f t="array" ref="I107">IFERROR(
    _xlfn.XLOOKUP(
        $A107,
        Table1[Location],
        INDEX(Table1[], , MATCH(I$1, Table1[#Headers], 0))
    ),
"")</f>
        <v>16395</v>
      </c>
      <c r="J107" s="28" cm="1">
        <f t="array" ref="J107">IFERROR(
    _xlfn.XLOOKUP(
        $A107,
        Table1[Location],
        INDEX(Table1[], , MATCH(J$1, Table1[#Headers], 0))
    ),
"")</f>
        <v>9879</v>
      </c>
      <c r="K107" s="28" cm="1">
        <f t="array" ref="K107">IFERROR(
    _xlfn.XLOOKUP(
        $A107,
        Table1[Location],
        INDEX(Table1[], , MATCH(K$1, Table1[#Headers], 0))
    ),
"")</f>
        <v>45565</v>
      </c>
      <c r="L107" s="28" cm="1">
        <f t="array" ref="L107">IFERROR(
    _xlfn.XLOOKUP(
        $A107,
        Table1[Location],
        INDEX(Table1[], , MATCH(L$1, Table1[#Headers], 0))
    ),
"")</f>
        <v>7073</v>
      </c>
      <c r="M107" s="28" cm="1">
        <f t="array" ref="M107">IFERROR(
    _xlfn.XLOOKUP(
        $A107,
        Table1[Location],
        INDEX(Table1[], , MATCH(M$1, Table1[#Headers], 0))
    ),
"")</f>
        <v>1486</v>
      </c>
      <c r="N107" s="28" cm="1">
        <f t="array" ref="N107">IFERROR(
    _xlfn.XLOOKUP(
        $A107,
        Table1[Location],
        INDEX(Table1[], , MATCH(N$1, Table1[#Headers], 0))
    ),
"")</f>
        <v>19073</v>
      </c>
      <c r="O107" s="28">
        <f t="shared" si="15"/>
        <v>343811.15904200001</v>
      </c>
      <c r="Q107" s="28">
        <f t="shared" si="16"/>
        <v>19.73079521</v>
      </c>
      <c r="R107" s="28">
        <f t="shared" si="17"/>
        <v>19.73079521</v>
      </c>
      <c r="S107" s="28">
        <f t="shared" si="18"/>
        <v>277.40000000000003</v>
      </c>
      <c r="T107" s="28">
        <f t="shared" si="19"/>
        <v>471.68</v>
      </c>
      <c r="U107" s="28">
        <f t="shared" si="20"/>
        <v>799.1</v>
      </c>
      <c r="V107" s="28">
        <f t="shared" si="21"/>
        <v>855.76</v>
      </c>
      <c r="W107" s="28">
        <f t="shared" si="22"/>
        <v>163.95000000000002</v>
      </c>
      <c r="X107" s="28">
        <f t="shared" si="23"/>
        <v>98.79</v>
      </c>
      <c r="Y107" s="28">
        <f t="shared" si="24"/>
        <v>455.65000000000003</v>
      </c>
      <c r="Z107" s="28">
        <f t="shared" si="25"/>
        <v>70.73</v>
      </c>
      <c r="AA107" s="28">
        <f t="shared" si="26"/>
        <v>14.86</v>
      </c>
      <c r="AB107" s="28">
        <f t="shared" si="27"/>
        <v>190.73</v>
      </c>
      <c r="AC107" s="28">
        <f t="shared" si="28"/>
        <v>3438.1115904200001</v>
      </c>
    </row>
    <row r="108" spans="1:29" x14ac:dyDescent="0.3">
      <c r="A108" s="29" t="s">
        <v>191</v>
      </c>
      <c r="B108" s="32" t="str" cm="1">
        <f t="array" ref="B108">IFERROR(
    _xlfn.XLOOKUP(
        $A108,
        Table1[Location],
        INDEX(Table1[], , MATCH(B$1, Table1[#Headers], 0))
    ),
"")</f>
        <v>PA</v>
      </c>
      <c r="C108" s="28" cm="1">
        <f t="array" ref="C108">IFERROR(
    _xlfn.XLOOKUP(
        $A108,
        Table1[Location],
        INDEX(Table1[], , MATCH(C$1, Table1[#Headers], 0))
    ),
"")</f>
        <v>15230</v>
      </c>
      <c r="D108" s="28" cm="1">
        <f t="array" ref="D108">IFERROR(
    _xlfn.XLOOKUP(
        $A108,
        Table1[Location],
        INDEX(Table1[], , MATCH(D$1, Table1[#Headers], 0))
    ),
"")</f>
        <v>14162</v>
      </c>
      <c r="E108" s="28" cm="1">
        <f t="array" ref="E108">IFERROR(
    _xlfn.XLOOKUP(
        $A108,
        Table1[Location],
        INDEX(Table1[], , MATCH(E$1, Table1[#Headers], 0))
    ),
"")</f>
        <v>55517</v>
      </c>
      <c r="F108" s="28" cm="1">
        <f t="array" ref="F108">IFERROR(
    _xlfn.XLOOKUP(
        $A108,
        Table1[Location],
        INDEX(Table1[], , MATCH(F$1, Table1[#Headers], 0))
    ),
"")</f>
        <v>94502</v>
      </c>
      <c r="G108" s="28" cm="1">
        <f t="array" ref="G108">IFERROR(
    _xlfn.XLOOKUP(
        $A108,
        Table1[Location],
        INDEX(Table1[], , MATCH(G$1, Table1[#Headers], 0))
    ),
"")</f>
        <v>132125</v>
      </c>
      <c r="H108" s="28" cm="1">
        <f t="array" ref="H108">IFERROR(
    _xlfn.XLOOKUP(
        $A108,
        Table1[Location],
        INDEX(Table1[], , MATCH(H$1, Table1[#Headers], 0))
    ),
"")</f>
        <v>80608</v>
      </c>
      <c r="I108" s="28" cm="1">
        <f t="array" ref="I108">IFERROR(
    _xlfn.XLOOKUP(
        $A108,
        Table1[Location],
        INDEX(Table1[], , MATCH(I$1, Table1[#Headers], 0))
    ),
"")</f>
        <v>162347</v>
      </c>
      <c r="J108" s="28" cm="1">
        <f t="array" ref="J108">IFERROR(
    _xlfn.XLOOKUP(
        $A108,
        Table1[Location],
        INDEX(Table1[], , MATCH(J$1, Table1[#Headers], 0))
    ),
"")</f>
        <v>67742</v>
      </c>
      <c r="K108" s="28" cm="1">
        <f t="array" ref="K108">IFERROR(
    _xlfn.XLOOKUP(
        $A108,
        Table1[Location],
        INDEX(Table1[], , MATCH(K$1, Table1[#Headers], 0))
    ),
"")</f>
        <v>102224</v>
      </c>
      <c r="L108" s="28" cm="1">
        <f t="array" ref="L108">IFERROR(
    _xlfn.XLOOKUP(
        $A108,
        Table1[Location],
        INDEX(Table1[], , MATCH(L$1, Table1[#Headers], 0))
    ),
"")</f>
        <v>105366</v>
      </c>
      <c r="M108" s="28" cm="1">
        <f t="array" ref="M108">IFERROR(
    _xlfn.XLOOKUP(
        $A108,
        Table1[Location],
        INDEX(Table1[], , MATCH(M$1, Table1[#Headers], 0))
    ),
"")</f>
        <v>9459.48</v>
      </c>
      <c r="N108" s="28" cm="1">
        <f t="array" ref="N108">IFERROR(
    _xlfn.XLOOKUP(
        $A108,
        Table1[Location],
        INDEX(Table1[], , MATCH(N$1, Table1[#Headers], 0))
    ),
"")</f>
        <v>9134.4363159999994</v>
      </c>
      <c r="O108" s="28">
        <f t="shared" si="15"/>
        <v>848416.91631599993</v>
      </c>
      <c r="Q108" s="28">
        <f t="shared" si="16"/>
        <v>152.30000000000001</v>
      </c>
      <c r="R108" s="28">
        <f t="shared" si="17"/>
        <v>141.62</v>
      </c>
      <c r="S108" s="28">
        <f t="shared" si="18"/>
        <v>555.16999999999996</v>
      </c>
      <c r="T108" s="28">
        <f t="shared" si="19"/>
        <v>945.02</v>
      </c>
      <c r="U108" s="28">
        <f t="shared" si="20"/>
        <v>1321.25</v>
      </c>
      <c r="V108" s="28">
        <f t="shared" si="21"/>
        <v>806.08</v>
      </c>
      <c r="W108" s="28">
        <f t="shared" si="22"/>
        <v>1623.47</v>
      </c>
      <c r="X108" s="28">
        <f t="shared" si="23"/>
        <v>677.42</v>
      </c>
      <c r="Y108" s="28">
        <f t="shared" si="24"/>
        <v>1022.24</v>
      </c>
      <c r="Z108" s="28">
        <f t="shared" si="25"/>
        <v>1053.6600000000001</v>
      </c>
      <c r="AA108" s="28">
        <f t="shared" si="26"/>
        <v>94.594799999999992</v>
      </c>
      <c r="AB108" s="28">
        <f t="shared" si="27"/>
        <v>91.34436316</v>
      </c>
      <c r="AC108" s="28">
        <f t="shared" si="28"/>
        <v>8484.1691631600006</v>
      </c>
    </row>
    <row r="109" spans="1:29" x14ac:dyDescent="0.3">
      <c r="A109" s="29" t="s">
        <v>192</v>
      </c>
      <c r="B109" s="32" t="str" cm="1">
        <f t="array" ref="B109">IFERROR(
    _xlfn.XLOOKUP(
        $A109,
        Table1[Location],
        INDEX(Table1[], , MATCH(B$1, Table1[#Headers], 0))
    ),
"")</f>
        <v>PA</v>
      </c>
      <c r="C109" s="28" cm="1">
        <f t="array" ref="C109">IFERROR(
    _xlfn.XLOOKUP(
        $A109,
        Table1[Location],
        INDEX(Table1[], , MATCH(C$1, Table1[#Headers], 0))
    ),
"")</f>
        <v>15240</v>
      </c>
      <c r="D109" s="28" cm="1">
        <f t="array" ref="D109">IFERROR(
    _xlfn.XLOOKUP(
        $A109,
        Table1[Location],
        INDEX(Table1[], , MATCH(D$1, Table1[#Headers], 0))
    ),
"")</f>
        <v>0</v>
      </c>
      <c r="E109" s="28" cm="1">
        <f t="array" ref="E109">IFERROR(
    _xlfn.XLOOKUP(
        $A109,
        Table1[Location],
        INDEX(Table1[], , MATCH(E$1, Table1[#Headers], 0))
    ),
"")</f>
        <v>0</v>
      </c>
      <c r="F109" s="28" cm="1">
        <f t="array" ref="F109">IFERROR(
    _xlfn.XLOOKUP(
        $A109,
        Table1[Location],
        INDEX(Table1[], , MATCH(F$1, Table1[#Headers], 0))
    ),
"")</f>
        <v>39110</v>
      </c>
      <c r="G109" s="28" cm="1">
        <f t="array" ref="G109">IFERROR(
    _xlfn.XLOOKUP(
        $A109,
        Table1[Location],
        INDEX(Table1[], , MATCH(G$1, Table1[#Headers], 0))
    ),
"")</f>
        <v>155502.43087800001</v>
      </c>
      <c r="H109" s="28" cm="1">
        <f t="array" ref="H109">IFERROR(
    _xlfn.XLOOKUP(
        $A109,
        Table1[Location],
        INDEX(Table1[], , MATCH(H$1, Table1[#Headers], 0))
    ),
"")</f>
        <v>96154</v>
      </c>
      <c r="I109" s="28" cm="1">
        <f t="array" ref="I109">IFERROR(
    _xlfn.XLOOKUP(
        $A109,
        Table1[Location],
        INDEX(Table1[], , MATCH(I$1, Table1[#Headers], 0))
    ),
"")</f>
        <v>84095</v>
      </c>
      <c r="J109" s="28" cm="1">
        <f t="array" ref="J109">IFERROR(
    _xlfn.XLOOKUP(
        $A109,
        Table1[Location],
        INDEX(Table1[], , MATCH(J$1, Table1[#Headers], 0))
    ),
"")</f>
        <v>74738</v>
      </c>
      <c r="K109" s="28" cm="1">
        <f t="array" ref="K109">IFERROR(
    _xlfn.XLOOKUP(
        $A109,
        Table1[Location],
        INDEX(Table1[], , MATCH(K$1, Table1[#Headers], 0))
    ),
"")</f>
        <v>135613</v>
      </c>
      <c r="L109" s="28" cm="1">
        <f t="array" ref="L109">IFERROR(
    _xlfn.XLOOKUP(
        $A109,
        Table1[Location],
        INDEX(Table1[], , MATCH(L$1, Table1[#Headers], 0))
    ),
"")</f>
        <v>56448</v>
      </c>
      <c r="M109" s="28" cm="1">
        <f t="array" ref="M109">IFERROR(
    _xlfn.XLOOKUP(
        $A109,
        Table1[Location],
        INDEX(Table1[], , MATCH(M$1, Table1[#Headers], 0))
    ),
"")</f>
        <v>44694.886789999997</v>
      </c>
      <c r="N109" s="28" cm="1">
        <f t="array" ref="N109">IFERROR(
    _xlfn.XLOOKUP(
        $A109,
        Table1[Location],
        INDEX(Table1[], , MATCH(N$1, Table1[#Headers], 0))
    ),
"")</f>
        <v>36442</v>
      </c>
      <c r="O109" s="28">
        <f t="shared" si="15"/>
        <v>738037.317668</v>
      </c>
      <c r="Q109" s="28">
        <f t="shared" si="16"/>
        <v>152.4</v>
      </c>
      <c r="R109" s="28">
        <f t="shared" si="17"/>
        <v>0</v>
      </c>
      <c r="S109" s="28">
        <f t="shared" si="18"/>
        <v>0</v>
      </c>
      <c r="T109" s="28">
        <f t="shared" si="19"/>
        <v>391.1</v>
      </c>
      <c r="U109" s="28">
        <f t="shared" si="20"/>
        <v>1555.0243087800002</v>
      </c>
      <c r="V109" s="28">
        <f t="shared" si="21"/>
        <v>961.54</v>
      </c>
      <c r="W109" s="28">
        <f t="shared" si="22"/>
        <v>840.95</v>
      </c>
      <c r="X109" s="28">
        <f t="shared" si="23"/>
        <v>747.38</v>
      </c>
      <c r="Y109" s="28">
        <f t="shared" si="24"/>
        <v>1356.13</v>
      </c>
      <c r="Z109" s="28">
        <f t="shared" si="25"/>
        <v>564.48</v>
      </c>
      <c r="AA109" s="28">
        <f t="shared" si="26"/>
        <v>446.94886789999998</v>
      </c>
      <c r="AB109" s="28">
        <f t="shared" si="27"/>
        <v>364.42</v>
      </c>
      <c r="AC109" s="28">
        <f t="shared" si="28"/>
        <v>7380.3731766800001</v>
      </c>
    </row>
    <row r="110" spans="1:29" x14ac:dyDescent="0.3">
      <c r="A110" s="29" t="s">
        <v>193</v>
      </c>
      <c r="B110" s="32" t="str" cm="1">
        <f t="array" ref="B110">IFERROR(
    _xlfn.XLOOKUP(
        $A110,
        Table1[Location],
        INDEX(Table1[], , MATCH(B$1, Table1[#Headers], 0))
    ),
"")</f>
        <v>SC</v>
      </c>
      <c r="C110" s="28" cm="1">
        <f t="array" ref="C110">IFERROR(
    _xlfn.XLOOKUP(
        $A110,
        Table1[Location],
        INDEX(Table1[], , MATCH(C$1, Table1[#Headers], 0))
    ),
"")</f>
        <v>21625.935344000001</v>
      </c>
      <c r="D110" s="28" cm="1">
        <f t="array" ref="D110">IFERROR(
    _xlfn.XLOOKUP(
        $A110,
        Table1[Location],
        INDEX(Table1[], , MATCH(D$1, Table1[#Headers], 0))
    ),
"")</f>
        <v>39043</v>
      </c>
      <c r="E110" s="28" cm="1">
        <f t="array" ref="E110">IFERROR(
    _xlfn.XLOOKUP(
        $A110,
        Table1[Location],
        INDEX(Table1[], , MATCH(E$1, Table1[#Headers], 0))
    ),
"")</f>
        <v>98879</v>
      </c>
      <c r="F110" s="28" cm="1">
        <f t="array" ref="F110">IFERROR(
    _xlfn.XLOOKUP(
        $A110,
        Table1[Location],
        INDEX(Table1[], , MATCH(F$1, Table1[#Headers], 0))
    ),
"")</f>
        <v>67289</v>
      </c>
      <c r="G110" s="28" cm="1">
        <f t="array" ref="G110">IFERROR(
    _xlfn.XLOOKUP(
        $A110,
        Table1[Location],
        INDEX(Table1[], , MATCH(G$1, Table1[#Headers], 0))
    ),
"")</f>
        <v>106981</v>
      </c>
      <c r="H110" s="28" cm="1">
        <f t="array" ref="H110">IFERROR(
    _xlfn.XLOOKUP(
        $A110,
        Table1[Location],
        INDEX(Table1[], , MATCH(H$1, Table1[#Headers], 0))
    ),
"")</f>
        <v>84136</v>
      </c>
      <c r="I110" s="28" cm="1">
        <f t="array" ref="I110">IFERROR(
    _xlfn.XLOOKUP(
        $A110,
        Table1[Location],
        INDEX(Table1[], , MATCH(I$1, Table1[#Headers], 0))
    ),
"")</f>
        <v>50661</v>
      </c>
      <c r="J110" s="28" cm="1">
        <f t="array" ref="J110">IFERROR(
    _xlfn.XLOOKUP(
        $A110,
        Table1[Location],
        INDEX(Table1[], , MATCH(J$1, Table1[#Headers], 0))
    ),
"")</f>
        <v>58079</v>
      </c>
      <c r="K110" s="28" cm="1">
        <f t="array" ref="K110">IFERROR(
    _xlfn.XLOOKUP(
        $A110,
        Table1[Location],
        INDEX(Table1[], , MATCH(K$1, Table1[#Headers], 0))
    ),
"")</f>
        <v>60218</v>
      </c>
      <c r="L110" s="28" cm="1">
        <f t="array" ref="L110">IFERROR(
    _xlfn.XLOOKUP(
        $A110,
        Table1[Location],
        INDEX(Table1[], , MATCH(L$1, Table1[#Headers], 0))
    ),
"")</f>
        <v>70819</v>
      </c>
      <c r="M110" s="28" cm="1">
        <f t="array" ref="M110">IFERROR(
    _xlfn.XLOOKUP(
        $A110,
        Table1[Location],
        INDEX(Table1[], , MATCH(M$1, Table1[#Headers], 0))
    ),
"")</f>
        <v>58740</v>
      </c>
      <c r="N110" s="28" cm="1">
        <f t="array" ref="N110">IFERROR(
    _xlfn.XLOOKUP(
        $A110,
        Table1[Location],
        INDEX(Table1[], , MATCH(N$1, Table1[#Headers], 0))
    ),
"")</f>
        <v>25830</v>
      </c>
      <c r="O110" s="28">
        <f t="shared" si="15"/>
        <v>742300.935344</v>
      </c>
      <c r="Q110" s="28">
        <f t="shared" si="16"/>
        <v>216.25935344000001</v>
      </c>
      <c r="R110" s="28">
        <f t="shared" si="17"/>
        <v>390.43</v>
      </c>
      <c r="S110" s="28">
        <f t="shared" si="18"/>
        <v>988.79000000000008</v>
      </c>
      <c r="T110" s="28">
        <f t="shared" si="19"/>
        <v>672.89</v>
      </c>
      <c r="U110" s="28">
        <f t="shared" si="20"/>
        <v>1069.81</v>
      </c>
      <c r="V110" s="28">
        <f t="shared" si="21"/>
        <v>841.36</v>
      </c>
      <c r="W110" s="28">
        <f t="shared" si="22"/>
        <v>506.61</v>
      </c>
      <c r="X110" s="28">
        <f t="shared" si="23"/>
        <v>580.79</v>
      </c>
      <c r="Y110" s="28">
        <f t="shared" si="24"/>
        <v>602.18000000000006</v>
      </c>
      <c r="Z110" s="28">
        <f t="shared" si="25"/>
        <v>708.19</v>
      </c>
      <c r="AA110" s="28">
        <f t="shared" si="26"/>
        <v>587.4</v>
      </c>
      <c r="AB110" s="28">
        <f t="shared" si="27"/>
        <v>258.3</v>
      </c>
      <c r="AC110" s="28">
        <f t="shared" si="28"/>
        <v>7423.0093534399994</v>
      </c>
    </row>
    <row r="111" spans="1:29" x14ac:dyDescent="0.3">
      <c r="A111" s="29" t="s">
        <v>195</v>
      </c>
      <c r="B111" s="32" t="str" cm="1">
        <f t="array" ref="B111">IFERROR(
    _xlfn.XLOOKUP(
        $A111,
        Table1[Location],
        INDEX(Table1[], , MATCH(B$1, Table1[#Headers], 0))
    ),
"")</f>
        <v>SC</v>
      </c>
      <c r="C111" s="28" cm="1">
        <f t="array" ref="C111">IFERROR(
    _xlfn.XLOOKUP(
        $A111,
        Table1[Location],
        INDEX(Table1[], , MATCH(C$1, Table1[#Headers], 0))
    ),
"")</f>
        <v>0</v>
      </c>
      <c r="D111" s="28" cm="1">
        <f t="array" ref="D111">IFERROR(
    _xlfn.XLOOKUP(
        $A111,
        Table1[Location],
        INDEX(Table1[], , MATCH(D$1, Table1[#Headers], 0))
    ),
"")</f>
        <v>0</v>
      </c>
      <c r="E111" s="28" cm="1">
        <f t="array" ref="E111">IFERROR(
    _xlfn.XLOOKUP(
        $A111,
        Table1[Location],
        INDEX(Table1[], , MATCH(E$1, Table1[#Headers], 0))
    ),
"")</f>
        <v>0</v>
      </c>
      <c r="F111" s="28" cm="1">
        <f t="array" ref="F111">IFERROR(
    _xlfn.XLOOKUP(
        $A111,
        Table1[Location],
        INDEX(Table1[], , MATCH(F$1, Table1[#Headers], 0))
    ),
"")</f>
        <v>0</v>
      </c>
      <c r="G111" s="28" cm="1">
        <f t="array" ref="G111">IFERROR(
    _xlfn.XLOOKUP(
        $A111,
        Table1[Location],
        INDEX(Table1[], , MATCH(G$1, Table1[#Headers], 0))
    ),
"")</f>
        <v>0</v>
      </c>
      <c r="H111" s="28" cm="1">
        <f t="array" ref="H111">IFERROR(
    _xlfn.XLOOKUP(
        $A111,
        Table1[Location],
        INDEX(Table1[], , MATCH(H$1, Table1[#Headers], 0))
    ),
"")</f>
        <v>0</v>
      </c>
      <c r="I111" s="28" cm="1">
        <f t="array" ref="I111">IFERROR(
    _xlfn.XLOOKUP(
        $A111,
        Table1[Location],
        INDEX(Table1[], , MATCH(I$1, Table1[#Headers], 0))
    ),
"")</f>
        <v>0</v>
      </c>
      <c r="J111" s="28" cm="1">
        <f t="array" ref="J111">IFERROR(
    _xlfn.XLOOKUP(
        $A111,
        Table1[Location],
        INDEX(Table1[], , MATCH(J$1, Table1[#Headers], 0))
    ),
"")</f>
        <v>0</v>
      </c>
      <c r="K111" s="28" cm="1">
        <f t="array" ref="K111">IFERROR(
    _xlfn.XLOOKUP(
        $A111,
        Table1[Location],
        INDEX(Table1[], , MATCH(K$1, Table1[#Headers], 0))
    ),
"")</f>
        <v>0</v>
      </c>
      <c r="L111" s="28" cm="1">
        <f t="array" ref="L111">IFERROR(
    _xlfn.XLOOKUP(
        $A111,
        Table1[Location],
        INDEX(Table1[], , MATCH(L$1, Table1[#Headers], 0))
    ),
"")</f>
        <v>0</v>
      </c>
      <c r="M111" s="28" cm="1">
        <f t="array" ref="M111">IFERROR(
    _xlfn.XLOOKUP(
        $A111,
        Table1[Location],
        INDEX(Table1[], , MATCH(M$1, Table1[#Headers], 0))
    ),
"")</f>
        <v>0</v>
      </c>
      <c r="N111" s="28" cm="1">
        <f t="array" ref="N111">IFERROR(
    _xlfn.XLOOKUP(
        $A111,
        Table1[Location],
        INDEX(Table1[], , MATCH(N$1, Table1[#Headers], 0))
    ),
"")</f>
        <v>0</v>
      </c>
      <c r="O111" s="28">
        <f t="shared" si="15"/>
        <v>0</v>
      </c>
      <c r="Q111" s="28">
        <f t="shared" si="16"/>
        <v>0</v>
      </c>
      <c r="R111" s="28">
        <f t="shared" si="17"/>
        <v>0</v>
      </c>
      <c r="S111" s="28">
        <f t="shared" si="18"/>
        <v>0</v>
      </c>
      <c r="T111" s="28">
        <f t="shared" si="19"/>
        <v>0</v>
      </c>
      <c r="U111" s="28">
        <f t="shared" si="20"/>
        <v>0</v>
      </c>
      <c r="V111" s="28">
        <f t="shared" si="21"/>
        <v>0</v>
      </c>
      <c r="W111" s="28">
        <f t="shared" si="22"/>
        <v>0</v>
      </c>
      <c r="X111" s="28">
        <f t="shared" si="23"/>
        <v>0</v>
      </c>
      <c r="Y111" s="28">
        <f t="shared" si="24"/>
        <v>0</v>
      </c>
      <c r="Z111" s="28">
        <f t="shared" si="25"/>
        <v>0</v>
      </c>
      <c r="AA111" s="28">
        <f t="shared" si="26"/>
        <v>0</v>
      </c>
      <c r="AB111" s="28">
        <f t="shared" si="27"/>
        <v>0</v>
      </c>
      <c r="AC111" s="28">
        <f t="shared" si="28"/>
        <v>0</v>
      </c>
    </row>
    <row r="112" spans="1:29" x14ac:dyDescent="0.3">
      <c r="A112" s="29" t="s">
        <v>197</v>
      </c>
      <c r="B112" s="32" t="str" cm="1">
        <f t="array" ref="B112">IFERROR(
    _xlfn.XLOOKUP(
        $A112,
        Table1[Location],
        INDEX(Table1[], , MATCH(B$1, Table1[#Headers], 0))
    ),
"")</f>
        <v>TN</v>
      </c>
      <c r="C112" s="28" cm="1">
        <f t="array" ref="C112">IFERROR(
    _xlfn.XLOOKUP(
        $A112,
        Table1[Location],
        INDEX(Table1[], , MATCH(C$1, Table1[#Headers], 0))
    ),
"")</f>
        <v>2150</v>
      </c>
      <c r="D112" s="28" cm="1">
        <f t="array" ref="D112">IFERROR(
    _xlfn.XLOOKUP(
        $A112,
        Table1[Location],
        INDEX(Table1[], , MATCH(D$1, Table1[#Headers], 0))
    ),
"")</f>
        <v>2575</v>
      </c>
      <c r="E112" s="28" cm="1">
        <f t="array" ref="E112">IFERROR(
    _xlfn.XLOOKUP(
        $A112,
        Table1[Location],
        INDEX(Table1[], , MATCH(E$1, Table1[#Headers], 0))
    ),
"")</f>
        <v>10860</v>
      </c>
      <c r="F112" s="28" cm="1">
        <f t="array" ref="F112">IFERROR(
    _xlfn.XLOOKUP(
        $A112,
        Table1[Location],
        INDEX(Table1[], , MATCH(F$1, Table1[#Headers], 0))
    ),
"")</f>
        <v>40681</v>
      </c>
      <c r="G112" s="28" cm="1">
        <f t="array" ref="G112">IFERROR(
    _xlfn.XLOOKUP(
        $A112,
        Table1[Location],
        INDEX(Table1[], , MATCH(G$1, Table1[#Headers], 0))
    ),
"")</f>
        <v>26596</v>
      </c>
      <c r="H112" s="28" cm="1">
        <f t="array" ref="H112">IFERROR(
    _xlfn.XLOOKUP(
        $A112,
        Table1[Location],
        INDEX(Table1[], , MATCH(H$1, Table1[#Headers], 0))
    ),
"")</f>
        <v>35674</v>
      </c>
      <c r="I112" s="28" cm="1">
        <f t="array" ref="I112">IFERROR(
    _xlfn.XLOOKUP(
        $A112,
        Table1[Location],
        INDEX(Table1[], , MATCH(I$1, Table1[#Headers], 0))
    ),
"")</f>
        <v>30266.455287000001</v>
      </c>
      <c r="J112" s="28" cm="1">
        <f t="array" ref="J112">IFERROR(
    _xlfn.XLOOKUP(
        $A112,
        Table1[Location],
        INDEX(Table1[], , MATCH(J$1, Table1[#Headers], 0))
    ),
"")</f>
        <v>14775</v>
      </c>
      <c r="K112" s="28" cm="1">
        <f t="array" ref="K112">IFERROR(
    _xlfn.XLOOKUP(
        $A112,
        Table1[Location],
        INDEX(Table1[], , MATCH(K$1, Table1[#Headers], 0))
    ),
"")</f>
        <v>44411.246866000001</v>
      </c>
      <c r="L112" s="28" cm="1">
        <f t="array" ref="L112">IFERROR(
    _xlfn.XLOOKUP(
        $A112,
        Table1[Location],
        INDEX(Table1[], , MATCH(L$1, Table1[#Headers], 0))
    ),
"")</f>
        <v>17320</v>
      </c>
      <c r="M112" s="28" cm="1">
        <f t="array" ref="M112">IFERROR(
    _xlfn.XLOOKUP(
        $A112,
        Table1[Location],
        INDEX(Table1[], , MATCH(M$1, Table1[#Headers], 0))
    ),
"")</f>
        <v>10775</v>
      </c>
      <c r="N112" s="28" cm="1">
        <f t="array" ref="N112">IFERROR(
    _xlfn.XLOOKUP(
        $A112,
        Table1[Location],
        INDEX(Table1[], , MATCH(N$1, Table1[#Headers], 0))
    ),
"")</f>
        <v>1250</v>
      </c>
      <c r="O112" s="28">
        <f t="shared" si="15"/>
        <v>237333.70215299999</v>
      </c>
      <c r="Q112" s="28">
        <f t="shared" si="16"/>
        <v>21.5</v>
      </c>
      <c r="R112" s="28">
        <f t="shared" si="17"/>
        <v>25.75</v>
      </c>
      <c r="S112" s="28">
        <f t="shared" si="18"/>
        <v>108.60000000000001</v>
      </c>
      <c r="T112" s="28">
        <f t="shared" si="19"/>
        <v>406.81</v>
      </c>
      <c r="U112" s="28">
        <f t="shared" si="20"/>
        <v>265.95999999999998</v>
      </c>
      <c r="V112" s="28">
        <f t="shared" si="21"/>
        <v>356.74</v>
      </c>
      <c r="W112" s="28">
        <f t="shared" si="22"/>
        <v>302.66455287000002</v>
      </c>
      <c r="X112" s="28">
        <f t="shared" si="23"/>
        <v>147.75</v>
      </c>
      <c r="Y112" s="28">
        <f t="shared" si="24"/>
        <v>444.11246866000005</v>
      </c>
      <c r="Z112" s="28">
        <f t="shared" si="25"/>
        <v>173.20000000000002</v>
      </c>
      <c r="AA112" s="28">
        <f t="shared" si="26"/>
        <v>107.75</v>
      </c>
      <c r="AB112" s="28">
        <f t="shared" si="27"/>
        <v>12.5</v>
      </c>
      <c r="AC112" s="28">
        <f t="shared" si="28"/>
        <v>2373.3370215300001</v>
      </c>
    </row>
    <row r="113" spans="1:29" x14ac:dyDescent="0.3">
      <c r="A113" s="29" t="s">
        <v>198</v>
      </c>
      <c r="B113" s="32" t="str" cm="1">
        <f t="array" ref="B113">IFERROR(
    _xlfn.XLOOKUP(
        $A113,
        Table1[Location],
        INDEX(Table1[], , MATCH(B$1, Table1[#Headers], 0))
    ),
"")</f>
        <v>TN</v>
      </c>
      <c r="C113" s="28" cm="1">
        <f t="array" ref="C113">IFERROR(
    _xlfn.XLOOKUP(
        $A113,
        Table1[Location],
        INDEX(Table1[], , MATCH(C$1, Table1[#Headers], 0))
    ),
"")</f>
        <v>0</v>
      </c>
      <c r="D113" s="28" cm="1">
        <f t="array" ref="D113">IFERROR(
    _xlfn.XLOOKUP(
        $A113,
        Table1[Location],
        INDEX(Table1[], , MATCH(D$1, Table1[#Headers], 0))
    ),
"")</f>
        <v>0</v>
      </c>
      <c r="E113" s="28" cm="1">
        <f t="array" ref="E113">IFERROR(
    _xlfn.XLOOKUP(
        $A113,
        Table1[Location],
        INDEX(Table1[], , MATCH(E$1, Table1[#Headers], 0))
    ),
"")</f>
        <v>0</v>
      </c>
      <c r="F113" s="28" cm="1">
        <f t="array" ref="F113">IFERROR(
    _xlfn.XLOOKUP(
        $A113,
        Table1[Location],
        INDEX(Table1[], , MATCH(F$1, Table1[#Headers], 0))
    ),
"")</f>
        <v>0</v>
      </c>
      <c r="G113" s="28" cm="1">
        <f t="array" ref="G113">IFERROR(
    _xlfn.XLOOKUP(
        $A113,
        Table1[Location],
        INDEX(Table1[], , MATCH(G$1, Table1[#Headers], 0))
    ),
"")</f>
        <v>0</v>
      </c>
      <c r="H113" s="28" cm="1">
        <f t="array" ref="H113">IFERROR(
    _xlfn.XLOOKUP(
        $A113,
        Table1[Location],
        INDEX(Table1[], , MATCH(H$1, Table1[#Headers], 0))
    ),
"")</f>
        <v>0</v>
      </c>
      <c r="I113" s="28" cm="1">
        <f t="array" ref="I113">IFERROR(
    _xlfn.XLOOKUP(
        $A113,
        Table1[Location],
        INDEX(Table1[], , MATCH(I$1, Table1[#Headers], 0))
    ),
"")</f>
        <v>0</v>
      </c>
      <c r="J113" s="28" cm="1">
        <f t="array" ref="J113">IFERROR(
    _xlfn.XLOOKUP(
        $A113,
        Table1[Location],
        INDEX(Table1[], , MATCH(J$1, Table1[#Headers], 0))
    ),
"")</f>
        <v>0</v>
      </c>
      <c r="K113" s="28" cm="1">
        <f t="array" ref="K113">IFERROR(
    _xlfn.XLOOKUP(
        $A113,
        Table1[Location],
        INDEX(Table1[], , MATCH(K$1, Table1[#Headers], 0))
    ),
"")</f>
        <v>0</v>
      </c>
      <c r="L113" s="28" cm="1">
        <f t="array" ref="L113">IFERROR(
    _xlfn.XLOOKUP(
        $A113,
        Table1[Location],
        INDEX(Table1[], , MATCH(L$1, Table1[#Headers], 0))
    ),
"")</f>
        <v>0</v>
      </c>
      <c r="M113" s="28" cm="1">
        <f t="array" ref="M113">IFERROR(
    _xlfn.XLOOKUP(
        $A113,
        Table1[Location],
        INDEX(Table1[], , MATCH(M$1, Table1[#Headers], 0))
    ),
"")</f>
        <v>0</v>
      </c>
      <c r="N113" s="28" cm="1">
        <f t="array" ref="N113">IFERROR(
    _xlfn.XLOOKUP(
        $A113,
        Table1[Location],
        INDEX(Table1[], , MATCH(N$1, Table1[#Headers], 0))
    ),
"")</f>
        <v>0</v>
      </c>
      <c r="O113" s="28">
        <f t="shared" si="15"/>
        <v>0</v>
      </c>
      <c r="Q113" s="28">
        <f t="shared" si="16"/>
        <v>0</v>
      </c>
      <c r="R113" s="28">
        <f t="shared" si="17"/>
        <v>0</v>
      </c>
      <c r="S113" s="28">
        <f t="shared" si="18"/>
        <v>0</v>
      </c>
      <c r="T113" s="28">
        <f t="shared" si="19"/>
        <v>0</v>
      </c>
      <c r="U113" s="28">
        <f t="shared" si="20"/>
        <v>0</v>
      </c>
      <c r="V113" s="28">
        <f t="shared" si="21"/>
        <v>0</v>
      </c>
      <c r="W113" s="28">
        <f t="shared" si="22"/>
        <v>0</v>
      </c>
      <c r="X113" s="28">
        <f t="shared" si="23"/>
        <v>0</v>
      </c>
      <c r="Y113" s="28">
        <f t="shared" si="24"/>
        <v>0</v>
      </c>
      <c r="Z113" s="28">
        <f t="shared" si="25"/>
        <v>0</v>
      </c>
      <c r="AA113" s="28">
        <f t="shared" si="26"/>
        <v>0</v>
      </c>
      <c r="AB113" s="28">
        <f t="shared" si="27"/>
        <v>0</v>
      </c>
      <c r="AC113" s="28">
        <f t="shared" si="28"/>
        <v>0</v>
      </c>
    </row>
    <row r="114" spans="1:29" x14ac:dyDescent="0.3">
      <c r="A114" s="29" t="s">
        <v>199</v>
      </c>
      <c r="B114" s="32" t="str" cm="1">
        <f t="array" ref="B114">IFERROR(
    _xlfn.XLOOKUP(
        $A114,
        Table1[Location],
        INDEX(Table1[], , MATCH(B$1, Table1[#Headers], 0))
    ),
"")</f>
        <v>TN</v>
      </c>
      <c r="C114" s="28" cm="1">
        <f t="array" ref="C114">IFERROR(
    _xlfn.XLOOKUP(
        $A114,
        Table1[Location],
        INDEX(Table1[], , MATCH(C$1, Table1[#Headers], 0))
    ),
"")</f>
        <v>11191.891626000001</v>
      </c>
      <c r="D114" s="28" cm="1">
        <f t="array" ref="D114">IFERROR(
    _xlfn.XLOOKUP(
        $A114,
        Table1[Location],
        INDEX(Table1[], , MATCH(D$1, Table1[#Headers], 0))
    ),
"")</f>
        <v>2250</v>
      </c>
      <c r="E114" s="28" cm="1">
        <f t="array" ref="E114">IFERROR(
    _xlfn.XLOOKUP(
        $A114,
        Table1[Location],
        INDEX(Table1[], , MATCH(E$1, Table1[#Headers], 0))
    ),
"")</f>
        <v>7376</v>
      </c>
      <c r="F114" s="28" cm="1">
        <f t="array" ref="F114">IFERROR(
    _xlfn.XLOOKUP(
        $A114,
        Table1[Location],
        INDEX(Table1[], , MATCH(F$1, Table1[#Headers], 0))
    ),
"")</f>
        <v>18247</v>
      </c>
      <c r="G114" s="28" cm="1">
        <f t="array" ref="G114">IFERROR(
    _xlfn.XLOOKUP(
        $A114,
        Table1[Location],
        INDEX(Table1[], , MATCH(G$1, Table1[#Headers], 0))
    ),
"")</f>
        <v>53456</v>
      </c>
      <c r="H114" s="28" cm="1">
        <f t="array" ref="H114">IFERROR(
    _xlfn.XLOOKUP(
        $A114,
        Table1[Location],
        INDEX(Table1[], , MATCH(H$1, Table1[#Headers], 0))
    ),
"")</f>
        <v>21172</v>
      </c>
      <c r="I114" s="28" cm="1">
        <f t="array" ref="I114">IFERROR(
    _xlfn.XLOOKUP(
        $A114,
        Table1[Location],
        INDEX(Table1[], , MATCH(I$1, Table1[#Headers], 0))
    ),
"")</f>
        <v>11846</v>
      </c>
      <c r="J114" s="28" cm="1">
        <f t="array" ref="J114">IFERROR(
    _xlfn.XLOOKUP(
        $A114,
        Table1[Location],
        INDEX(Table1[], , MATCH(J$1, Table1[#Headers], 0))
    ),
"")</f>
        <v>46645</v>
      </c>
      <c r="K114" s="28" cm="1">
        <f t="array" ref="K114">IFERROR(
    _xlfn.XLOOKUP(
        $A114,
        Table1[Location],
        INDEX(Table1[], , MATCH(K$1, Table1[#Headers], 0))
    ),
"")</f>
        <v>61840</v>
      </c>
      <c r="L114" s="28" cm="1">
        <f t="array" ref="L114">IFERROR(
    _xlfn.XLOOKUP(
        $A114,
        Table1[Location],
        INDEX(Table1[], , MATCH(L$1, Table1[#Headers], 0))
    ),
"")</f>
        <v>29321</v>
      </c>
      <c r="M114" s="28" cm="1">
        <f t="array" ref="M114">IFERROR(
    _xlfn.XLOOKUP(
        $A114,
        Table1[Location],
        INDEX(Table1[], , MATCH(M$1, Table1[#Headers], 0))
    ),
"")</f>
        <v>22498</v>
      </c>
      <c r="N114" s="28" cm="1">
        <f t="array" ref="N114">IFERROR(
    _xlfn.XLOOKUP(
        $A114,
        Table1[Location],
        INDEX(Table1[], , MATCH(N$1, Table1[#Headers], 0))
    ),
"")</f>
        <v>8632</v>
      </c>
      <c r="O114" s="28">
        <f t="shared" si="15"/>
        <v>294474.891626</v>
      </c>
      <c r="Q114" s="28">
        <f t="shared" si="16"/>
        <v>111.91891626</v>
      </c>
      <c r="R114" s="28">
        <f t="shared" si="17"/>
        <v>22.5</v>
      </c>
      <c r="S114" s="28">
        <f t="shared" si="18"/>
        <v>73.760000000000005</v>
      </c>
      <c r="T114" s="28">
        <f t="shared" si="19"/>
        <v>182.47</v>
      </c>
      <c r="U114" s="28">
        <f t="shared" si="20"/>
        <v>534.56000000000006</v>
      </c>
      <c r="V114" s="28">
        <f t="shared" si="21"/>
        <v>211.72</v>
      </c>
      <c r="W114" s="28">
        <f t="shared" si="22"/>
        <v>118.46000000000001</v>
      </c>
      <c r="X114" s="28">
        <f t="shared" si="23"/>
        <v>466.45</v>
      </c>
      <c r="Y114" s="28">
        <f t="shared" si="24"/>
        <v>618.4</v>
      </c>
      <c r="Z114" s="28">
        <f t="shared" si="25"/>
        <v>293.20999999999998</v>
      </c>
      <c r="AA114" s="28">
        <f t="shared" si="26"/>
        <v>224.98000000000002</v>
      </c>
      <c r="AB114" s="28">
        <f t="shared" si="27"/>
        <v>86.320000000000007</v>
      </c>
      <c r="AC114" s="28">
        <f t="shared" si="28"/>
        <v>2944.7489162600004</v>
      </c>
    </row>
    <row r="115" spans="1:29" x14ac:dyDescent="0.3">
      <c r="A115" s="29" t="s">
        <v>200</v>
      </c>
      <c r="B115" s="32" t="str" cm="1">
        <f t="array" ref="B115">IFERROR(
    _xlfn.XLOOKUP(
        $A115,
        Table1[Location],
        INDEX(Table1[], , MATCH(B$1, Table1[#Headers], 0))
    ),
"")</f>
        <v>TX</v>
      </c>
      <c r="C115" s="28" cm="1">
        <f t="array" ref="C115">IFERROR(
    _xlfn.XLOOKUP(
        $A115,
        Table1[Location],
        INDEX(Table1[], , MATCH(C$1, Table1[#Headers], 0))
    ),
"")</f>
        <v>15976</v>
      </c>
      <c r="D115" s="28" cm="1">
        <f t="array" ref="D115">IFERROR(
    _xlfn.XLOOKUP(
        $A115,
        Table1[Location],
        INDEX(Table1[], , MATCH(D$1, Table1[#Headers], 0))
    ),
"")</f>
        <v>16542</v>
      </c>
      <c r="E115" s="28" cm="1">
        <f t="array" ref="E115">IFERROR(
    _xlfn.XLOOKUP(
        $A115,
        Table1[Location],
        INDEX(Table1[], , MATCH(E$1, Table1[#Headers], 0))
    ),
"")</f>
        <v>12343</v>
      </c>
      <c r="F115" s="28" cm="1">
        <f t="array" ref="F115">IFERROR(
    _xlfn.XLOOKUP(
        $A115,
        Table1[Location],
        INDEX(Table1[], , MATCH(F$1, Table1[#Headers], 0))
    ),
"")</f>
        <v>30604</v>
      </c>
      <c r="G115" s="28" cm="1">
        <f t="array" ref="G115">IFERROR(
    _xlfn.XLOOKUP(
        $A115,
        Table1[Location],
        INDEX(Table1[], , MATCH(G$1, Table1[#Headers], 0))
    ),
"")</f>
        <v>42378</v>
      </c>
      <c r="H115" s="28" cm="1">
        <f t="array" ref="H115">IFERROR(
    _xlfn.XLOOKUP(
        $A115,
        Table1[Location],
        INDEX(Table1[], , MATCH(H$1, Table1[#Headers], 0))
    ),
"")</f>
        <v>55418</v>
      </c>
      <c r="I115" s="28" cm="1">
        <f t="array" ref="I115">IFERROR(
    _xlfn.XLOOKUP(
        $A115,
        Table1[Location],
        INDEX(Table1[], , MATCH(I$1, Table1[#Headers], 0))
    ),
"")</f>
        <v>17953</v>
      </c>
      <c r="J115" s="28" cm="1">
        <f t="array" ref="J115">IFERROR(
    _xlfn.XLOOKUP(
        $A115,
        Table1[Location],
        INDEX(Table1[], , MATCH(J$1, Table1[#Headers], 0))
    ),
"")</f>
        <v>59278</v>
      </c>
      <c r="K115" s="28" cm="1">
        <f t="array" ref="K115">IFERROR(
    _xlfn.XLOOKUP(
        $A115,
        Table1[Location],
        INDEX(Table1[], , MATCH(K$1, Table1[#Headers], 0))
    ),
"")</f>
        <v>32761</v>
      </c>
      <c r="L115" s="28" cm="1">
        <f t="array" ref="L115">IFERROR(
    _xlfn.XLOOKUP(
        $A115,
        Table1[Location],
        INDEX(Table1[], , MATCH(L$1, Table1[#Headers], 0))
    ),
"")</f>
        <v>33948</v>
      </c>
      <c r="M115" s="28" cm="1">
        <f t="array" ref="M115">IFERROR(
    _xlfn.XLOOKUP(
        $A115,
        Table1[Location],
        INDEX(Table1[], , MATCH(M$1, Table1[#Headers], 0))
    ),
"")</f>
        <v>54167</v>
      </c>
      <c r="N115" s="28" cm="1">
        <f t="array" ref="N115">IFERROR(
    _xlfn.XLOOKUP(
        $A115,
        Table1[Location],
        INDEX(Table1[], , MATCH(N$1, Table1[#Headers], 0))
    ),
"")</f>
        <v>34293</v>
      </c>
      <c r="O115" s="28">
        <f t="shared" si="15"/>
        <v>405661</v>
      </c>
      <c r="Q115" s="28">
        <f t="shared" si="16"/>
        <v>159.76</v>
      </c>
      <c r="R115" s="28">
        <f t="shared" si="17"/>
        <v>165.42000000000002</v>
      </c>
      <c r="S115" s="28">
        <f t="shared" si="18"/>
        <v>123.43</v>
      </c>
      <c r="T115" s="28">
        <f t="shared" si="19"/>
        <v>306.04000000000002</v>
      </c>
      <c r="U115" s="28">
        <f t="shared" si="20"/>
        <v>423.78000000000003</v>
      </c>
      <c r="V115" s="28">
        <f t="shared" si="21"/>
        <v>554.18000000000006</v>
      </c>
      <c r="W115" s="28">
        <f t="shared" si="22"/>
        <v>179.53</v>
      </c>
      <c r="X115" s="28">
        <f t="shared" si="23"/>
        <v>592.78</v>
      </c>
      <c r="Y115" s="28">
        <f t="shared" si="24"/>
        <v>327.61</v>
      </c>
      <c r="Z115" s="28">
        <f t="shared" si="25"/>
        <v>339.48</v>
      </c>
      <c r="AA115" s="28">
        <f t="shared" si="26"/>
        <v>541.66999999999996</v>
      </c>
      <c r="AB115" s="28">
        <f t="shared" si="27"/>
        <v>342.93</v>
      </c>
      <c r="AC115" s="28">
        <f t="shared" si="28"/>
        <v>4056.61</v>
      </c>
    </row>
    <row r="116" spans="1:29" x14ac:dyDescent="0.3">
      <c r="A116" s="29" t="s">
        <v>202</v>
      </c>
      <c r="B116" s="32" t="str" cm="1">
        <f t="array" ref="B116">IFERROR(
    _xlfn.XLOOKUP(
        $A116,
        Table1[Location],
        INDEX(Table1[], , MATCH(B$1, Table1[#Headers], 0))
    ),
"")</f>
        <v>TX</v>
      </c>
      <c r="C116" s="28" cm="1">
        <f t="array" ref="C116">IFERROR(
    _xlfn.XLOOKUP(
        $A116,
        Table1[Location],
        INDEX(Table1[], , MATCH(C$1, Table1[#Headers], 0))
    ),
"")</f>
        <v>129937</v>
      </c>
      <c r="D116" s="28" cm="1">
        <f t="array" ref="D116">IFERROR(
    _xlfn.XLOOKUP(
        $A116,
        Table1[Location],
        INDEX(Table1[], , MATCH(D$1, Table1[#Headers], 0))
    ),
"")</f>
        <v>16443</v>
      </c>
      <c r="E116" s="28" cm="1">
        <f t="array" ref="E116">IFERROR(
    _xlfn.XLOOKUP(
        $A116,
        Table1[Location],
        INDEX(Table1[], , MATCH(E$1, Table1[#Headers], 0))
    ),
"")</f>
        <v>62169</v>
      </c>
      <c r="F116" s="28" cm="1">
        <f t="array" ref="F116">IFERROR(
    _xlfn.XLOOKUP(
        $A116,
        Table1[Location],
        INDEX(Table1[], , MATCH(F$1, Table1[#Headers], 0))
    ),
"")</f>
        <v>39585</v>
      </c>
      <c r="G116" s="28" cm="1">
        <f t="array" ref="G116">IFERROR(
    _xlfn.XLOOKUP(
        $A116,
        Table1[Location],
        INDEX(Table1[], , MATCH(G$1, Table1[#Headers], 0))
    ),
"")</f>
        <v>59892</v>
      </c>
      <c r="H116" s="28" cm="1">
        <f t="array" ref="H116">IFERROR(
    _xlfn.XLOOKUP(
        $A116,
        Table1[Location],
        INDEX(Table1[], , MATCH(H$1, Table1[#Headers], 0))
    ),
"")</f>
        <v>26982</v>
      </c>
      <c r="I116" s="28" cm="1">
        <f t="array" ref="I116">IFERROR(
    _xlfn.XLOOKUP(
        $A116,
        Table1[Location],
        INDEX(Table1[], , MATCH(I$1, Table1[#Headers], 0))
    ),
"")</f>
        <v>196420</v>
      </c>
      <c r="J116" s="28" cm="1">
        <f t="array" ref="J116">IFERROR(
    _xlfn.XLOOKUP(
        $A116,
        Table1[Location],
        INDEX(Table1[], , MATCH(J$1, Table1[#Headers], 0))
    ),
"")</f>
        <v>17606</v>
      </c>
      <c r="K116" s="28" cm="1">
        <f t="array" ref="K116">IFERROR(
    _xlfn.XLOOKUP(
        $A116,
        Table1[Location],
        INDEX(Table1[], , MATCH(K$1, Table1[#Headers], 0))
    ),
"")</f>
        <v>99253</v>
      </c>
      <c r="L116" s="28" cm="1">
        <f t="array" ref="L116">IFERROR(
    _xlfn.XLOOKUP(
        $A116,
        Table1[Location],
        INDEX(Table1[], , MATCH(L$1, Table1[#Headers], 0))
    ),
"")</f>
        <v>76125</v>
      </c>
      <c r="M116" s="28" cm="1">
        <f t="array" ref="M116">IFERROR(
    _xlfn.XLOOKUP(
        $A116,
        Table1[Location],
        INDEX(Table1[], , MATCH(M$1, Table1[#Headers], 0))
    ),
"")</f>
        <v>51287</v>
      </c>
      <c r="N116" s="28" cm="1">
        <f t="array" ref="N116">IFERROR(
    _xlfn.XLOOKUP(
        $A116,
        Table1[Location],
        INDEX(Table1[], , MATCH(N$1, Table1[#Headers], 0))
    ),
"")</f>
        <v>32156</v>
      </c>
      <c r="O116" s="28">
        <f t="shared" si="15"/>
        <v>807855</v>
      </c>
      <c r="Q116" s="28">
        <f t="shared" si="16"/>
        <v>1299.3700000000001</v>
      </c>
      <c r="R116" s="28">
        <f t="shared" si="17"/>
        <v>164.43</v>
      </c>
      <c r="S116" s="28">
        <f t="shared" si="18"/>
        <v>621.69000000000005</v>
      </c>
      <c r="T116" s="28">
        <f t="shared" si="19"/>
        <v>395.85</v>
      </c>
      <c r="U116" s="28">
        <f t="shared" si="20"/>
        <v>598.91999999999996</v>
      </c>
      <c r="V116" s="28">
        <f t="shared" si="21"/>
        <v>269.82</v>
      </c>
      <c r="W116" s="28">
        <f t="shared" si="22"/>
        <v>1964.2</v>
      </c>
      <c r="X116" s="28">
        <f t="shared" si="23"/>
        <v>176.06</v>
      </c>
      <c r="Y116" s="28">
        <f t="shared" si="24"/>
        <v>992.53</v>
      </c>
      <c r="Z116" s="28">
        <f t="shared" si="25"/>
        <v>761.25</v>
      </c>
      <c r="AA116" s="28">
        <f t="shared" si="26"/>
        <v>512.87</v>
      </c>
      <c r="AB116" s="28">
        <f t="shared" si="27"/>
        <v>321.56</v>
      </c>
      <c r="AC116" s="28">
        <f t="shared" si="28"/>
        <v>8078.5500000000011</v>
      </c>
    </row>
    <row r="117" spans="1:29" x14ac:dyDescent="0.3">
      <c r="A117" s="29" t="s">
        <v>203</v>
      </c>
      <c r="B117" s="32" t="str" cm="1">
        <f t="array" ref="B117">IFERROR(
    _xlfn.XLOOKUP(
        $A117,
        Table1[Location],
        INDEX(Table1[], , MATCH(B$1, Table1[#Headers], 0))
    ),
"")</f>
        <v>TX</v>
      </c>
      <c r="C117" s="28" cm="1">
        <f t="array" ref="C117">IFERROR(
    _xlfn.XLOOKUP(
        $A117,
        Table1[Location],
        INDEX(Table1[], , MATCH(C$1, Table1[#Headers], 0))
    ),
"")</f>
        <v>27410</v>
      </c>
      <c r="D117" s="28" cm="1">
        <f t="array" ref="D117">IFERROR(
    _xlfn.XLOOKUP(
        $A117,
        Table1[Location],
        INDEX(Table1[], , MATCH(D$1, Table1[#Headers], 0))
    ),
"")</f>
        <v>6819</v>
      </c>
      <c r="E117" s="28" cm="1">
        <f t="array" ref="E117">IFERROR(
    _xlfn.XLOOKUP(
        $A117,
        Table1[Location],
        INDEX(Table1[], , MATCH(E$1, Table1[#Headers], 0))
    ),
"")</f>
        <v>22906</v>
      </c>
      <c r="F117" s="28" cm="1">
        <f t="array" ref="F117">IFERROR(
    _xlfn.XLOOKUP(
        $A117,
        Table1[Location],
        INDEX(Table1[], , MATCH(F$1, Table1[#Headers], 0))
    ),
"")</f>
        <v>39844</v>
      </c>
      <c r="G117" s="28" cm="1">
        <f t="array" ref="G117">IFERROR(
    _xlfn.XLOOKUP(
        $A117,
        Table1[Location],
        INDEX(Table1[], , MATCH(G$1, Table1[#Headers], 0))
    ),
"")</f>
        <v>43482</v>
      </c>
      <c r="H117" s="28" cm="1">
        <f t="array" ref="H117">IFERROR(
    _xlfn.XLOOKUP(
        $A117,
        Table1[Location],
        INDEX(Table1[], , MATCH(H$1, Table1[#Headers], 0))
    ),
"")</f>
        <v>21912</v>
      </c>
      <c r="I117" s="28" cm="1">
        <f t="array" ref="I117">IFERROR(
    _xlfn.XLOOKUP(
        $A117,
        Table1[Location],
        INDEX(Table1[], , MATCH(I$1, Table1[#Headers], 0))
    ),
"")</f>
        <v>59333</v>
      </c>
      <c r="J117" s="28" cm="1">
        <f t="array" ref="J117">IFERROR(
    _xlfn.XLOOKUP(
        $A117,
        Table1[Location],
        INDEX(Table1[], , MATCH(J$1, Table1[#Headers], 0))
    ),
"")</f>
        <v>42719</v>
      </c>
      <c r="K117" s="28" cm="1">
        <f t="array" ref="K117">IFERROR(
    _xlfn.XLOOKUP(
        $A117,
        Table1[Location],
        INDEX(Table1[], , MATCH(K$1, Table1[#Headers], 0))
    ),
"")</f>
        <v>32197</v>
      </c>
      <c r="L117" s="28" cm="1">
        <f t="array" ref="L117">IFERROR(
    _xlfn.XLOOKUP(
        $A117,
        Table1[Location],
        INDEX(Table1[], , MATCH(L$1, Table1[#Headers], 0))
    ),
"")</f>
        <v>61635</v>
      </c>
      <c r="M117" s="28" cm="1">
        <f t="array" ref="M117">IFERROR(
    _xlfn.XLOOKUP(
        $A117,
        Table1[Location],
        INDEX(Table1[], , MATCH(M$1, Table1[#Headers], 0))
    ),
"")</f>
        <v>31596</v>
      </c>
      <c r="N117" s="28" cm="1">
        <f t="array" ref="N117">IFERROR(
    _xlfn.XLOOKUP(
        $A117,
        Table1[Location],
        INDEX(Table1[], , MATCH(N$1, Table1[#Headers], 0))
    ),
"")</f>
        <v>42175</v>
      </c>
      <c r="O117" s="28">
        <f t="shared" si="15"/>
        <v>432028</v>
      </c>
      <c r="Q117" s="28">
        <f t="shared" si="16"/>
        <v>274.10000000000002</v>
      </c>
      <c r="R117" s="28">
        <f t="shared" si="17"/>
        <v>68.19</v>
      </c>
      <c r="S117" s="28">
        <f t="shared" si="18"/>
        <v>229.06</v>
      </c>
      <c r="T117" s="28">
        <f t="shared" si="19"/>
        <v>398.44</v>
      </c>
      <c r="U117" s="28">
        <f t="shared" si="20"/>
        <v>434.82</v>
      </c>
      <c r="V117" s="28">
        <f t="shared" si="21"/>
        <v>219.12</v>
      </c>
      <c r="W117" s="28">
        <f t="shared" si="22"/>
        <v>593.33000000000004</v>
      </c>
      <c r="X117" s="28">
        <f t="shared" si="23"/>
        <v>427.19</v>
      </c>
      <c r="Y117" s="28">
        <f t="shared" si="24"/>
        <v>321.97000000000003</v>
      </c>
      <c r="Z117" s="28">
        <f t="shared" si="25"/>
        <v>616.35</v>
      </c>
      <c r="AA117" s="28">
        <f t="shared" si="26"/>
        <v>315.95999999999998</v>
      </c>
      <c r="AB117" s="28">
        <f t="shared" si="27"/>
        <v>421.75</v>
      </c>
      <c r="AC117" s="28">
        <f t="shared" si="28"/>
        <v>4320.2800000000007</v>
      </c>
    </row>
    <row r="118" spans="1:29" x14ac:dyDescent="0.3">
      <c r="A118" s="29" t="s">
        <v>204</v>
      </c>
      <c r="B118" s="32" t="str" cm="1">
        <f t="array" ref="B118">IFERROR(
    _xlfn.XLOOKUP(
        $A118,
        Table1[Location],
        INDEX(Table1[], , MATCH(B$1, Table1[#Headers], 0))
    ),
"")</f>
        <v>TX</v>
      </c>
      <c r="C118" s="28" cm="1">
        <f t="array" ref="C118">IFERROR(
    _xlfn.XLOOKUP(
        $A118,
        Table1[Location],
        INDEX(Table1[], , MATCH(C$1, Table1[#Headers], 0))
    ),
"")</f>
        <v>8190.4849020000001</v>
      </c>
      <c r="D118" s="28" cm="1">
        <f t="array" ref="D118">IFERROR(
    _xlfn.XLOOKUP(
        $A118,
        Table1[Location],
        INDEX(Table1[], , MATCH(D$1, Table1[#Headers], 0))
    ),
"")</f>
        <v>5944.6938090000003</v>
      </c>
      <c r="E118" s="28" cm="1">
        <f t="array" ref="E118">IFERROR(
    _xlfn.XLOOKUP(
        $A118,
        Table1[Location],
        INDEX(Table1[], , MATCH(E$1, Table1[#Headers], 0))
    ),
"")</f>
        <v>25362</v>
      </c>
      <c r="F118" s="28" cm="1">
        <f t="array" ref="F118">IFERROR(
    _xlfn.XLOOKUP(
        $A118,
        Table1[Location],
        INDEX(Table1[], , MATCH(F$1, Table1[#Headers], 0))
    ),
"")</f>
        <v>12843</v>
      </c>
      <c r="G118" s="28" cm="1">
        <f t="array" ref="G118">IFERROR(
    _xlfn.XLOOKUP(
        $A118,
        Table1[Location],
        INDEX(Table1[], , MATCH(G$1, Table1[#Headers], 0))
    ),
"")</f>
        <v>18456</v>
      </c>
      <c r="H118" s="28" cm="1">
        <f t="array" ref="H118">IFERROR(
    _xlfn.XLOOKUP(
        $A118,
        Table1[Location],
        INDEX(Table1[], , MATCH(H$1, Table1[#Headers], 0))
    ),
"")</f>
        <v>62473</v>
      </c>
      <c r="I118" s="28" cm="1">
        <f t="array" ref="I118">IFERROR(
    _xlfn.XLOOKUP(
        $A118,
        Table1[Location],
        INDEX(Table1[], , MATCH(I$1, Table1[#Headers], 0))
    ),
"")</f>
        <v>78223</v>
      </c>
      <c r="J118" s="28" cm="1">
        <f t="array" ref="J118">IFERROR(
    _xlfn.XLOOKUP(
        $A118,
        Table1[Location],
        INDEX(Table1[], , MATCH(J$1, Table1[#Headers], 0))
    ),
"")</f>
        <v>49699</v>
      </c>
      <c r="K118" s="28" cm="1">
        <f t="array" ref="K118">IFERROR(
    _xlfn.XLOOKUP(
        $A118,
        Table1[Location],
        INDEX(Table1[], , MATCH(K$1, Table1[#Headers], 0))
    ),
"")</f>
        <v>85666</v>
      </c>
      <c r="L118" s="28" cm="1">
        <f t="array" ref="L118">IFERROR(
    _xlfn.XLOOKUP(
        $A118,
        Table1[Location],
        INDEX(Table1[], , MATCH(L$1, Table1[#Headers], 0))
    ),
"")</f>
        <v>18580</v>
      </c>
      <c r="M118" s="28" cm="1">
        <f t="array" ref="M118">IFERROR(
    _xlfn.XLOOKUP(
        $A118,
        Table1[Location],
        INDEX(Table1[], , MATCH(M$1, Table1[#Headers], 0))
    ),
"")</f>
        <v>27500</v>
      </c>
      <c r="N118" s="28" cm="1">
        <f t="array" ref="N118">IFERROR(
    _xlfn.XLOOKUP(
        $A118,
        Table1[Location],
        INDEX(Table1[], , MATCH(N$1, Table1[#Headers], 0))
    ),
"")</f>
        <v>7782.1592490000003</v>
      </c>
      <c r="O118" s="28">
        <f t="shared" si="15"/>
        <v>400719.33796000003</v>
      </c>
      <c r="Q118" s="28">
        <f t="shared" si="16"/>
        <v>81.90484902</v>
      </c>
      <c r="R118" s="28">
        <f t="shared" si="17"/>
        <v>59.446938090000003</v>
      </c>
      <c r="S118" s="28">
        <f t="shared" si="18"/>
        <v>253.62</v>
      </c>
      <c r="T118" s="28">
        <f t="shared" si="19"/>
        <v>128.43</v>
      </c>
      <c r="U118" s="28">
        <f t="shared" si="20"/>
        <v>184.56</v>
      </c>
      <c r="V118" s="28">
        <f t="shared" si="21"/>
        <v>624.73</v>
      </c>
      <c r="W118" s="28">
        <f t="shared" si="22"/>
        <v>782.23</v>
      </c>
      <c r="X118" s="28">
        <f t="shared" si="23"/>
        <v>496.99</v>
      </c>
      <c r="Y118" s="28">
        <f t="shared" si="24"/>
        <v>856.66</v>
      </c>
      <c r="Z118" s="28">
        <f t="shared" si="25"/>
        <v>185.8</v>
      </c>
      <c r="AA118" s="28">
        <f t="shared" si="26"/>
        <v>275</v>
      </c>
      <c r="AB118" s="28">
        <f t="shared" si="27"/>
        <v>77.82159249</v>
      </c>
      <c r="AC118" s="28">
        <f t="shared" si="28"/>
        <v>4007.1933795999998</v>
      </c>
    </row>
    <row r="119" spans="1:29" x14ac:dyDescent="0.3">
      <c r="A119" s="29" t="s">
        <v>205</v>
      </c>
      <c r="B119" s="32" t="str" cm="1">
        <f t="array" ref="B119">IFERROR(
    _xlfn.XLOOKUP(
        $A119,
        Table1[Location],
        INDEX(Table1[], , MATCH(B$1, Table1[#Headers], 0))
    ),
"")</f>
        <v>TX</v>
      </c>
      <c r="C119" s="28" cm="1">
        <f t="array" ref="C119">IFERROR(
    _xlfn.XLOOKUP(
        $A119,
        Table1[Location],
        INDEX(Table1[], , MATCH(C$1, Table1[#Headers], 0))
    ),
"")</f>
        <v>10379.9462</v>
      </c>
      <c r="D119" s="28" cm="1">
        <f t="array" ref="D119">IFERROR(
    _xlfn.XLOOKUP(
        $A119,
        Table1[Location],
        INDEX(Table1[], , MATCH(D$1, Table1[#Headers], 0))
    ),
"")</f>
        <v>12199</v>
      </c>
      <c r="E119" s="28" cm="1">
        <f t="array" ref="E119">IFERROR(
    _xlfn.XLOOKUP(
        $A119,
        Table1[Location],
        INDEX(Table1[], , MATCH(E$1, Table1[#Headers], 0))
    ),
"")</f>
        <v>14450.814602</v>
      </c>
      <c r="F119" s="28" cm="1">
        <f t="array" ref="F119">IFERROR(
    _xlfn.XLOOKUP(
        $A119,
        Table1[Location],
        INDEX(Table1[], , MATCH(F$1, Table1[#Headers], 0))
    ),
"")</f>
        <v>13632.574558</v>
      </c>
      <c r="G119" s="28" cm="1">
        <f t="array" ref="G119">IFERROR(
    _xlfn.XLOOKUP(
        $A119,
        Table1[Location],
        INDEX(Table1[], , MATCH(G$1, Table1[#Headers], 0))
    ),
"")</f>
        <v>33063</v>
      </c>
      <c r="H119" s="28" cm="1">
        <f t="array" ref="H119">IFERROR(
    _xlfn.XLOOKUP(
        $A119,
        Table1[Location],
        INDEX(Table1[], , MATCH(H$1, Table1[#Headers], 0))
    ),
"")</f>
        <v>37489</v>
      </c>
      <c r="I119" s="28" cm="1">
        <f t="array" ref="I119">IFERROR(
    _xlfn.XLOOKUP(
        $A119,
        Table1[Location],
        INDEX(Table1[], , MATCH(I$1, Table1[#Headers], 0))
    ),
"")</f>
        <v>38206.703974999997</v>
      </c>
      <c r="J119" s="28" cm="1">
        <f t="array" ref="J119">IFERROR(
    _xlfn.XLOOKUP(
        $A119,
        Table1[Location],
        INDEX(Table1[], , MATCH(J$1, Table1[#Headers], 0))
    ),
"")</f>
        <v>13556</v>
      </c>
      <c r="K119" s="28" cm="1">
        <f t="array" ref="K119">IFERROR(
    _xlfn.XLOOKUP(
        $A119,
        Table1[Location],
        INDEX(Table1[], , MATCH(K$1, Table1[#Headers], 0))
    ),
"")</f>
        <v>24999</v>
      </c>
      <c r="L119" s="28" cm="1">
        <f t="array" ref="L119">IFERROR(
    _xlfn.XLOOKUP(
        $A119,
        Table1[Location],
        INDEX(Table1[], , MATCH(L$1, Table1[#Headers], 0))
    ),
"")</f>
        <v>20119</v>
      </c>
      <c r="M119" s="28" cm="1">
        <f t="array" ref="M119">IFERROR(
    _xlfn.XLOOKUP(
        $A119,
        Table1[Location],
        INDEX(Table1[], , MATCH(M$1, Table1[#Headers], 0))
    ),
"")</f>
        <v>23766</v>
      </c>
      <c r="N119" s="28" cm="1">
        <f t="array" ref="N119">IFERROR(
    _xlfn.XLOOKUP(
        $A119,
        Table1[Location],
        INDEX(Table1[], , MATCH(N$1, Table1[#Headers], 0))
    ),
"")</f>
        <v>12687</v>
      </c>
      <c r="O119" s="28">
        <f t="shared" si="15"/>
        <v>254548.03933499998</v>
      </c>
      <c r="Q119" s="28">
        <f t="shared" si="16"/>
        <v>103.79946200000001</v>
      </c>
      <c r="R119" s="28">
        <f t="shared" si="17"/>
        <v>121.99000000000001</v>
      </c>
      <c r="S119" s="28">
        <f t="shared" si="18"/>
        <v>144.50814602</v>
      </c>
      <c r="T119" s="28">
        <f t="shared" si="19"/>
        <v>136.32574558000002</v>
      </c>
      <c r="U119" s="28">
        <f t="shared" si="20"/>
        <v>330.63</v>
      </c>
      <c r="V119" s="28">
        <f t="shared" si="21"/>
        <v>374.89</v>
      </c>
      <c r="W119" s="28">
        <f t="shared" si="22"/>
        <v>382.06703974999999</v>
      </c>
      <c r="X119" s="28">
        <f t="shared" si="23"/>
        <v>135.56</v>
      </c>
      <c r="Y119" s="28">
        <f t="shared" si="24"/>
        <v>249.99</v>
      </c>
      <c r="Z119" s="28">
        <f t="shared" si="25"/>
        <v>201.19</v>
      </c>
      <c r="AA119" s="28">
        <f t="shared" si="26"/>
        <v>237.66</v>
      </c>
      <c r="AB119" s="28">
        <f t="shared" si="27"/>
        <v>126.87</v>
      </c>
      <c r="AC119" s="28">
        <f t="shared" si="28"/>
        <v>2545.4803933499998</v>
      </c>
    </row>
    <row r="120" spans="1:29" x14ac:dyDescent="0.3">
      <c r="A120" s="29" t="s">
        <v>206</v>
      </c>
      <c r="B120" s="32" t="str" cm="1">
        <f t="array" ref="B120">IFERROR(
    _xlfn.XLOOKUP(
        $A120,
        Table1[Location],
        INDEX(Table1[], , MATCH(B$1, Table1[#Headers], 0))
    ),
"")</f>
        <v>TX</v>
      </c>
      <c r="C120" s="28" cm="1">
        <f t="array" ref="C120">IFERROR(
    _xlfn.XLOOKUP(
        $A120,
        Table1[Location],
        INDEX(Table1[], , MATCH(C$1, Table1[#Headers], 0))
    ),
"")</f>
        <v>3446.9772109999999</v>
      </c>
      <c r="D120" s="28" cm="1">
        <f t="array" ref="D120">IFERROR(
    _xlfn.XLOOKUP(
        $A120,
        Table1[Location],
        INDEX(Table1[], , MATCH(D$1, Table1[#Headers], 0))
    ),
"")</f>
        <v>9696</v>
      </c>
      <c r="E120" s="28" cm="1">
        <f t="array" ref="E120">IFERROR(
    _xlfn.XLOOKUP(
        $A120,
        Table1[Location],
        INDEX(Table1[], , MATCH(E$1, Table1[#Headers], 0))
    ),
"")</f>
        <v>18921.099661</v>
      </c>
      <c r="F120" s="28" cm="1">
        <f t="array" ref="F120">IFERROR(
    _xlfn.XLOOKUP(
        $A120,
        Table1[Location],
        INDEX(Table1[], , MATCH(F$1, Table1[#Headers], 0))
    ),
"")</f>
        <v>25681</v>
      </c>
      <c r="G120" s="28" cm="1">
        <f t="array" ref="G120">IFERROR(
    _xlfn.XLOOKUP(
        $A120,
        Table1[Location],
        INDEX(Table1[], , MATCH(G$1, Table1[#Headers], 0))
    ),
"")</f>
        <v>14359</v>
      </c>
      <c r="H120" s="28" cm="1">
        <f t="array" ref="H120">IFERROR(
    _xlfn.XLOOKUP(
        $A120,
        Table1[Location],
        INDEX(Table1[], , MATCH(H$1, Table1[#Headers], 0))
    ),
"")</f>
        <v>31990</v>
      </c>
      <c r="I120" s="28" cm="1">
        <f t="array" ref="I120">IFERROR(
    _xlfn.XLOOKUP(
        $A120,
        Table1[Location],
        INDEX(Table1[], , MATCH(I$1, Table1[#Headers], 0))
    ),
"")</f>
        <v>10222</v>
      </c>
      <c r="J120" s="28" cm="1">
        <f t="array" ref="J120">IFERROR(
    _xlfn.XLOOKUP(
        $A120,
        Table1[Location],
        INDEX(Table1[], , MATCH(J$1, Table1[#Headers], 0))
    ),
"")</f>
        <v>2643</v>
      </c>
      <c r="K120" s="28" cm="1">
        <f t="array" ref="K120">IFERROR(
    _xlfn.XLOOKUP(
        $A120,
        Table1[Location],
        INDEX(Table1[], , MATCH(K$1, Table1[#Headers], 0))
    ),
"")</f>
        <v>8417.4531509999997</v>
      </c>
      <c r="L120" s="28" cm="1">
        <f t="array" ref="L120">IFERROR(
    _xlfn.XLOOKUP(
        $A120,
        Table1[Location],
        INDEX(Table1[], , MATCH(L$1, Table1[#Headers], 0))
    ),
"")</f>
        <v>7434.9094919999998</v>
      </c>
      <c r="M120" s="28" cm="1">
        <f t="array" ref="M120">IFERROR(
    _xlfn.XLOOKUP(
        $A120,
        Table1[Location],
        INDEX(Table1[], , MATCH(M$1, Table1[#Headers], 0))
    ),
"")</f>
        <v>4653.311643</v>
      </c>
      <c r="N120" s="28" cm="1">
        <f t="array" ref="N120">IFERROR(
    _xlfn.XLOOKUP(
        $A120,
        Table1[Location],
        INDEX(Table1[], , MATCH(N$1, Table1[#Headers], 0))
    ),
"")</f>
        <v>29954.519746999998</v>
      </c>
      <c r="O120" s="28">
        <f t="shared" si="15"/>
        <v>167419.27090499998</v>
      </c>
      <c r="Q120" s="28">
        <f t="shared" si="16"/>
        <v>34.469772110000001</v>
      </c>
      <c r="R120" s="28">
        <f t="shared" si="17"/>
        <v>96.960000000000008</v>
      </c>
      <c r="S120" s="28">
        <f t="shared" si="18"/>
        <v>189.21099661</v>
      </c>
      <c r="T120" s="28">
        <f t="shared" si="19"/>
        <v>256.81</v>
      </c>
      <c r="U120" s="28">
        <f t="shared" si="20"/>
        <v>143.59</v>
      </c>
      <c r="V120" s="28">
        <f t="shared" si="21"/>
        <v>319.90000000000003</v>
      </c>
      <c r="W120" s="28">
        <f t="shared" si="22"/>
        <v>102.22</v>
      </c>
      <c r="X120" s="28">
        <f t="shared" si="23"/>
        <v>26.43</v>
      </c>
      <c r="Y120" s="28">
        <f t="shared" si="24"/>
        <v>84.174531509999994</v>
      </c>
      <c r="Z120" s="28">
        <f t="shared" si="25"/>
        <v>74.349094919999999</v>
      </c>
      <c r="AA120" s="28">
        <f t="shared" si="26"/>
        <v>46.53311643</v>
      </c>
      <c r="AB120" s="28">
        <f t="shared" si="27"/>
        <v>299.54519747000001</v>
      </c>
      <c r="AC120" s="28">
        <f t="shared" si="28"/>
        <v>1674.1927090500001</v>
      </c>
    </row>
    <row r="121" spans="1:29" x14ac:dyDescent="0.3">
      <c r="A121" s="29" t="s">
        <v>207</v>
      </c>
      <c r="B121" s="32" t="str" cm="1">
        <f t="array" ref="B121">IFERROR(
    _xlfn.XLOOKUP(
        $A121,
        Table1[Location],
        INDEX(Table1[], , MATCH(B$1, Table1[#Headers], 0))
    ),
"")</f>
        <v>TX</v>
      </c>
      <c r="C121" s="28" cm="1">
        <f t="array" ref="C121">IFERROR(
    _xlfn.XLOOKUP(
        $A121,
        Table1[Location],
        INDEX(Table1[], , MATCH(C$1, Table1[#Headers], 0))
    ),
"")</f>
        <v>16434.966768999999</v>
      </c>
      <c r="D121" s="28" cm="1">
        <f t="array" ref="D121">IFERROR(
    _xlfn.XLOOKUP(
        $A121,
        Table1[Location],
        INDEX(Table1[], , MATCH(D$1, Table1[#Headers], 0))
    ),
"")</f>
        <v>12255</v>
      </c>
      <c r="E121" s="28" cm="1">
        <f t="array" ref="E121">IFERROR(
    _xlfn.XLOOKUP(
        $A121,
        Table1[Location],
        INDEX(Table1[], , MATCH(E$1, Table1[#Headers], 0))
    ),
"")</f>
        <v>12546</v>
      </c>
      <c r="F121" s="28" cm="1">
        <f t="array" ref="F121">IFERROR(
    _xlfn.XLOOKUP(
        $A121,
        Table1[Location],
        INDEX(Table1[], , MATCH(F$1, Table1[#Headers], 0))
    ),
"")</f>
        <v>35625</v>
      </c>
      <c r="G121" s="28" cm="1">
        <f t="array" ref="G121">IFERROR(
    _xlfn.XLOOKUP(
        $A121,
        Table1[Location],
        INDEX(Table1[], , MATCH(G$1, Table1[#Headers], 0))
    ),
"")</f>
        <v>29418</v>
      </c>
      <c r="H121" s="28" cm="1">
        <f t="array" ref="H121">IFERROR(
    _xlfn.XLOOKUP(
        $A121,
        Table1[Location],
        INDEX(Table1[], , MATCH(H$1, Table1[#Headers], 0))
    ),
"")</f>
        <v>18725</v>
      </c>
      <c r="I121" s="28" cm="1">
        <f t="array" ref="I121">IFERROR(
    _xlfn.XLOOKUP(
        $A121,
        Table1[Location],
        INDEX(Table1[], , MATCH(I$1, Table1[#Headers], 0))
    ),
"")</f>
        <v>18444</v>
      </c>
      <c r="J121" s="28" cm="1">
        <f t="array" ref="J121">IFERROR(
    _xlfn.XLOOKUP(
        $A121,
        Table1[Location],
        INDEX(Table1[], , MATCH(J$1, Table1[#Headers], 0))
    ),
"")</f>
        <v>11028</v>
      </c>
      <c r="K121" s="28" cm="1">
        <f t="array" ref="K121">IFERROR(
    _xlfn.XLOOKUP(
        $A121,
        Table1[Location],
        INDEX(Table1[], , MATCH(K$1, Table1[#Headers], 0))
    ),
"")</f>
        <v>6523</v>
      </c>
      <c r="L121" s="28" cm="1">
        <f t="array" ref="L121">IFERROR(
    _xlfn.XLOOKUP(
        $A121,
        Table1[Location],
        INDEX(Table1[], , MATCH(L$1, Table1[#Headers], 0))
    ),
"")</f>
        <v>513</v>
      </c>
      <c r="M121" s="28" cm="1">
        <f t="array" ref="M121">IFERROR(
    _xlfn.XLOOKUP(
        $A121,
        Table1[Location],
        INDEX(Table1[], , MATCH(M$1, Table1[#Headers], 0))
    ),
"")</f>
        <v>3607.2587050000002</v>
      </c>
      <c r="N121" s="28" cm="1">
        <f t="array" ref="N121">IFERROR(
    _xlfn.XLOOKUP(
        $A121,
        Table1[Location],
        INDEX(Table1[], , MATCH(N$1, Table1[#Headers], 0))
    ),
"")</f>
        <v>6231</v>
      </c>
      <c r="O121" s="28">
        <f t="shared" si="15"/>
        <v>171350.22547399998</v>
      </c>
      <c r="Q121" s="28">
        <f t="shared" si="16"/>
        <v>164.34966768999999</v>
      </c>
      <c r="R121" s="28">
        <f t="shared" si="17"/>
        <v>122.55</v>
      </c>
      <c r="S121" s="28">
        <f t="shared" si="18"/>
        <v>125.46000000000001</v>
      </c>
      <c r="T121" s="28">
        <f t="shared" si="19"/>
        <v>356.25</v>
      </c>
      <c r="U121" s="28">
        <f t="shared" si="20"/>
        <v>294.18</v>
      </c>
      <c r="V121" s="28">
        <f t="shared" si="21"/>
        <v>187.25</v>
      </c>
      <c r="W121" s="28">
        <f t="shared" si="22"/>
        <v>184.44</v>
      </c>
      <c r="X121" s="28">
        <f t="shared" si="23"/>
        <v>110.28</v>
      </c>
      <c r="Y121" s="28">
        <f t="shared" si="24"/>
        <v>65.23</v>
      </c>
      <c r="Z121" s="28">
        <f t="shared" si="25"/>
        <v>5.13</v>
      </c>
      <c r="AA121" s="28">
        <f t="shared" si="26"/>
        <v>36.072587050000003</v>
      </c>
      <c r="AB121" s="28">
        <f t="shared" si="27"/>
        <v>62.31</v>
      </c>
      <c r="AC121" s="28">
        <f t="shared" si="28"/>
        <v>1713.5022547400001</v>
      </c>
    </row>
    <row r="122" spans="1:29" x14ac:dyDescent="0.3">
      <c r="A122" s="29" t="s">
        <v>208</v>
      </c>
      <c r="B122" s="32" t="str" cm="1">
        <f t="array" ref="B122">IFERROR(
    _xlfn.XLOOKUP(
        $A122,
        Table1[Location],
        INDEX(Table1[], , MATCH(B$1, Table1[#Headers], 0))
    ),
"")</f>
        <v>TX</v>
      </c>
      <c r="C122" s="28" cm="1">
        <f t="array" ref="C122">IFERROR(
    _xlfn.XLOOKUP(
        $A122,
        Table1[Location],
        INDEX(Table1[], , MATCH(C$1, Table1[#Headers], 0))
    ),
"")</f>
        <v>1600.0798990000001</v>
      </c>
      <c r="D122" s="28" cm="1">
        <f t="array" ref="D122">IFERROR(
    _xlfn.XLOOKUP(
        $A122,
        Table1[Location],
        INDEX(Table1[], , MATCH(D$1, Table1[#Headers], 0))
    ),
"")</f>
        <v>7250</v>
      </c>
      <c r="E122" s="28" cm="1">
        <f t="array" ref="E122">IFERROR(
    _xlfn.XLOOKUP(
        $A122,
        Table1[Location],
        INDEX(Table1[], , MATCH(E$1, Table1[#Headers], 0))
    ),
"")</f>
        <v>9853</v>
      </c>
      <c r="F122" s="28" cm="1">
        <f t="array" ref="F122">IFERROR(
    _xlfn.XLOOKUP(
        $A122,
        Table1[Location],
        INDEX(Table1[], , MATCH(F$1, Table1[#Headers], 0))
    ),
"")</f>
        <v>13126</v>
      </c>
      <c r="G122" s="28" cm="1">
        <f t="array" ref="G122">IFERROR(
    _xlfn.XLOOKUP(
        $A122,
        Table1[Location],
        INDEX(Table1[], , MATCH(G$1, Table1[#Headers], 0))
    ),
"")</f>
        <v>25130</v>
      </c>
      <c r="H122" s="28" cm="1">
        <f t="array" ref="H122">IFERROR(
    _xlfn.XLOOKUP(
        $A122,
        Table1[Location],
        INDEX(Table1[], , MATCH(H$1, Table1[#Headers], 0))
    ),
"")</f>
        <v>6580</v>
      </c>
      <c r="I122" s="28" cm="1">
        <f t="array" ref="I122">IFERROR(
    _xlfn.XLOOKUP(
        $A122,
        Table1[Location],
        INDEX(Table1[], , MATCH(I$1, Table1[#Headers], 0))
    ),
"")</f>
        <v>25590</v>
      </c>
      <c r="J122" s="28" cm="1">
        <f t="array" ref="J122">IFERROR(
    _xlfn.XLOOKUP(
        $A122,
        Table1[Location],
        INDEX(Table1[], , MATCH(J$1, Table1[#Headers], 0))
    ),
"")</f>
        <v>6684</v>
      </c>
      <c r="K122" s="28" cm="1">
        <f t="array" ref="K122">IFERROR(
    _xlfn.XLOOKUP(
        $A122,
        Table1[Location],
        INDEX(Table1[], , MATCH(K$1, Table1[#Headers], 0))
    ),
"")</f>
        <v>2145</v>
      </c>
      <c r="L122" s="28" cm="1">
        <f t="array" ref="L122">IFERROR(
    _xlfn.XLOOKUP(
        $A122,
        Table1[Location],
        INDEX(Table1[], , MATCH(L$1, Table1[#Headers], 0))
    ),
"")</f>
        <v>3125</v>
      </c>
      <c r="M122" s="28" cm="1">
        <f t="array" ref="M122">IFERROR(
    _xlfn.XLOOKUP(
        $A122,
        Table1[Location],
        INDEX(Table1[], , MATCH(M$1, Table1[#Headers], 0))
    ),
"")</f>
        <v>2689</v>
      </c>
      <c r="N122" s="28" cm="1">
        <f t="array" ref="N122">IFERROR(
    _xlfn.XLOOKUP(
        $A122,
        Table1[Location],
        INDEX(Table1[], , MATCH(N$1, Table1[#Headers], 0))
    ),
"")</f>
        <v>7842</v>
      </c>
      <c r="O122" s="28">
        <f t="shared" si="15"/>
        <v>111614.079899</v>
      </c>
      <c r="Q122" s="28">
        <f t="shared" si="16"/>
        <v>16.00079899</v>
      </c>
      <c r="R122" s="28">
        <f t="shared" si="17"/>
        <v>72.5</v>
      </c>
      <c r="S122" s="28">
        <f t="shared" si="18"/>
        <v>98.53</v>
      </c>
      <c r="T122" s="28">
        <f t="shared" si="19"/>
        <v>131.26</v>
      </c>
      <c r="U122" s="28">
        <f t="shared" si="20"/>
        <v>251.3</v>
      </c>
      <c r="V122" s="28">
        <f t="shared" si="21"/>
        <v>65.8</v>
      </c>
      <c r="W122" s="28">
        <f t="shared" si="22"/>
        <v>255.9</v>
      </c>
      <c r="X122" s="28">
        <f t="shared" si="23"/>
        <v>66.84</v>
      </c>
      <c r="Y122" s="28">
        <f t="shared" si="24"/>
        <v>21.45</v>
      </c>
      <c r="Z122" s="28">
        <f t="shared" si="25"/>
        <v>31.25</v>
      </c>
      <c r="AA122" s="28">
        <f t="shared" si="26"/>
        <v>26.89</v>
      </c>
      <c r="AB122" s="28">
        <f t="shared" si="27"/>
        <v>78.42</v>
      </c>
      <c r="AC122" s="28">
        <f t="shared" si="28"/>
        <v>1116.1407989900001</v>
      </c>
    </row>
    <row r="123" spans="1:29" x14ac:dyDescent="0.3">
      <c r="A123" s="29" t="s">
        <v>209</v>
      </c>
      <c r="B123" s="32" t="str" cm="1">
        <f t="array" ref="B123">IFERROR(
    _xlfn.XLOOKUP(
        $A123,
        Table1[Location],
        INDEX(Table1[], , MATCH(B$1, Table1[#Headers], 0))
    ),
"")</f>
        <v>TX</v>
      </c>
      <c r="C123" s="28" cm="1">
        <f t="array" ref="C123">IFERROR(
    _xlfn.XLOOKUP(
        $A123,
        Table1[Location],
        INDEX(Table1[], , MATCH(C$1, Table1[#Headers], 0))
    ),
"")</f>
        <v>9981.4345200000007</v>
      </c>
      <c r="D123" s="28" cm="1">
        <f t="array" ref="D123">IFERROR(
    _xlfn.XLOOKUP(
        $A123,
        Table1[Location],
        INDEX(Table1[], , MATCH(D$1, Table1[#Headers], 0))
    ),
"")</f>
        <v>8742.7220199999992</v>
      </c>
      <c r="E123" s="28" cm="1">
        <f t="array" ref="E123">IFERROR(
    _xlfn.XLOOKUP(
        $A123,
        Table1[Location],
        INDEX(Table1[], , MATCH(E$1, Table1[#Headers], 0))
    ),
"")</f>
        <v>12396</v>
      </c>
      <c r="F123" s="28" cm="1">
        <f t="array" ref="F123">IFERROR(
    _xlfn.XLOOKUP(
        $A123,
        Table1[Location],
        INDEX(Table1[], , MATCH(F$1, Table1[#Headers], 0))
    ),
"")</f>
        <v>16279</v>
      </c>
      <c r="G123" s="28" cm="1">
        <f t="array" ref="G123">IFERROR(
    _xlfn.XLOOKUP(
        $A123,
        Table1[Location],
        INDEX(Table1[], , MATCH(G$1, Table1[#Headers], 0))
    ),
"")</f>
        <v>11727.939709</v>
      </c>
      <c r="H123" s="28" cm="1">
        <f t="array" ref="H123">IFERROR(
    _xlfn.XLOOKUP(
        $A123,
        Table1[Location],
        INDEX(Table1[], , MATCH(H$1, Table1[#Headers], 0))
    ),
"")</f>
        <v>17461.834193999999</v>
      </c>
      <c r="I123" s="28" cm="1">
        <f t="array" ref="I123">IFERROR(
    _xlfn.XLOOKUP(
        $A123,
        Table1[Location],
        INDEX(Table1[], , MATCH(I$1, Table1[#Headers], 0))
    ),
"")</f>
        <v>26607.472115</v>
      </c>
      <c r="J123" s="28" cm="1">
        <f t="array" ref="J123">IFERROR(
    _xlfn.XLOOKUP(
        $A123,
        Table1[Location],
        INDEX(Table1[], , MATCH(J$1, Table1[#Headers], 0))
    ),
"")</f>
        <v>5386.4034000000001</v>
      </c>
      <c r="K123" s="28" cm="1">
        <f t="array" ref="K123">IFERROR(
    _xlfn.XLOOKUP(
        $A123,
        Table1[Location],
        INDEX(Table1[], , MATCH(K$1, Table1[#Headers], 0))
    ),
"")</f>
        <v>21983.099627</v>
      </c>
      <c r="L123" s="28" cm="1">
        <f t="array" ref="L123">IFERROR(
    _xlfn.XLOOKUP(
        $A123,
        Table1[Location],
        INDEX(Table1[], , MATCH(L$1, Table1[#Headers], 0))
    ),
"")</f>
        <v>10009.609473</v>
      </c>
      <c r="M123" s="28" cm="1">
        <f t="array" ref="M123">IFERROR(
    _xlfn.XLOOKUP(
        $A123,
        Table1[Location],
        INDEX(Table1[], , MATCH(M$1, Table1[#Headers], 0))
    ),
"")</f>
        <v>814.620136</v>
      </c>
      <c r="N123" s="28" cm="1">
        <f t="array" ref="N123">IFERROR(
    _xlfn.XLOOKUP(
        $A123,
        Table1[Location],
        INDEX(Table1[], , MATCH(N$1, Table1[#Headers], 0))
    ),
"")</f>
        <v>8941.7566430000006</v>
      </c>
      <c r="O123" s="28">
        <f t="shared" si="15"/>
        <v>150331.891837</v>
      </c>
      <c r="Q123" s="28">
        <f t="shared" si="16"/>
        <v>99.814345200000005</v>
      </c>
      <c r="R123" s="28">
        <f t="shared" si="17"/>
        <v>87.427220199999994</v>
      </c>
      <c r="S123" s="28">
        <f t="shared" si="18"/>
        <v>123.96000000000001</v>
      </c>
      <c r="T123" s="28">
        <f t="shared" si="19"/>
        <v>162.79</v>
      </c>
      <c r="U123" s="28">
        <f t="shared" si="20"/>
        <v>117.27939709</v>
      </c>
      <c r="V123" s="28">
        <f t="shared" si="21"/>
        <v>174.61834193999999</v>
      </c>
      <c r="W123" s="28">
        <f t="shared" si="22"/>
        <v>266.07472115000002</v>
      </c>
      <c r="X123" s="28">
        <f t="shared" si="23"/>
        <v>53.864034000000004</v>
      </c>
      <c r="Y123" s="28">
        <f t="shared" si="24"/>
        <v>219.83099627000001</v>
      </c>
      <c r="Z123" s="28">
        <f t="shared" si="25"/>
        <v>100.09609473</v>
      </c>
      <c r="AA123" s="28">
        <f t="shared" si="26"/>
        <v>8.1462013600000009</v>
      </c>
      <c r="AB123" s="28">
        <f t="shared" si="27"/>
        <v>89.417566430000008</v>
      </c>
      <c r="AC123" s="28">
        <f t="shared" si="28"/>
        <v>1503.3189183700001</v>
      </c>
    </row>
    <row r="124" spans="1:29" x14ac:dyDescent="0.3">
      <c r="A124" s="29" t="s">
        <v>210</v>
      </c>
      <c r="B124" s="32" t="str" cm="1">
        <f t="array" ref="B124">IFERROR(
    _xlfn.XLOOKUP(
        $A124,
        Table1[Location],
        INDEX(Table1[], , MATCH(B$1, Table1[#Headers], 0))
    ),
"")</f>
        <v>TX</v>
      </c>
      <c r="C124" s="28" cm="1">
        <f t="array" ref="C124">IFERROR(
    _xlfn.XLOOKUP(
        $A124,
        Table1[Location],
        INDEX(Table1[], , MATCH(C$1, Table1[#Headers], 0))
    ),
"")</f>
        <v>3562</v>
      </c>
      <c r="D124" s="28" cm="1">
        <f t="array" ref="D124">IFERROR(
    _xlfn.XLOOKUP(
        $A124,
        Table1[Location],
        INDEX(Table1[], , MATCH(D$1, Table1[#Headers], 0))
    ),
"")</f>
        <v>5680</v>
      </c>
      <c r="E124" s="28" cm="1">
        <f t="array" ref="E124">IFERROR(
    _xlfn.XLOOKUP(
        $A124,
        Table1[Location],
        INDEX(Table1[], , MATCH(E$1, Table1[#Headers], 0))
    ),
"")</f>
        <v>9854</v>
      </c>
      <c r="F124" s="28" cm="1">
        <f t="array" ref="F124">IFERROR(
    _xlfn.XLOOKUP(
        $A124,
        Table1[Location],
        INDEX(Table1[], , MATCH(F$1, Table1[#Headers], 0))
    ),
"")</f>
        <v>12580</v>
      </c>
      <c r="G124" s="28" cm="1">
        <f t="array" ref="G124">IFERROR(
    _xlfn.XLOOKUP(
        $A124,
        Table1[Location],
        INDEX(Table1[], , MATCH(G$1, Table1[#Headers], 0))
    ),
"")</f>
        <v>15375</v>
      </c>
      <c r="H124" s="28" cm="1">
        <f t="array" ref="H124">IFERROR(
    _xlfn.XLOOKUP(
        $A124,
        Table1[Location],
        INDEX(Table1[], , MATCH(H$1, Table1[#Headers], 0))
    ),
"")</f>
        <v>16250</v>
      </c>
      <c r="I124" s="28" cm="1">
        <f t="array" ref="I124">IFERROR(
    _xlfn.XLOOKUP(
        $A124,
        Table1[Location],
        INDEX(Table1[], , MATCH(I$1, Table1[#Headers], 0))
    ),
"")</f>
        <v>14235</v>
      </c>
      <c r="J124" s="28" cm="1">
        <f t="array" ref="J124">IFERROR(
    _xlfn.XLOOKUP(
        $A124,
        Table1[Location],
        INDEX(Table1[], , MATCH(J$1, Table1[#Headers], 0))
    ),
"")</f>
        <v>12360</v>
      </c>
      <c r="K124" s="28" cm="1">
        <f t="array" ref="K124">IFERROR(
    _xlfn.XLOOKUP(
        $A124,
        Table1[Location],
        INDEX(Table1[], , MATCH(K$1, Table1[#Headers], 0))
    ),
"")</f>
        <v>18251</v>
      </c>
      <c r="L124" s="28" cm="1">
        <f t="array" ref="L124">IFERROR(
    _xlfn.XLOOKUP(
        $A124,
        Table1[Location],
        INDEX(Table1[], , MATCH(L$1, Table1[#Headers], 0))
    ),
"")</f>
        <v>12654</v>
      </c>
      <c r="M124" s="28" cm="1">
        <f t="array" ref="M124">IFERROR(
    _xlfn.XLOOKUP(
        $A124,
        Table1[Location],
        INDEX(Table1[], , MATCH(M$1, Table1[#Headers], 0))
    ),
"")</f>
        <v>19321</v>
      </c>
      <c r="N124" s="28" cm="1">
        <f t="array" ref="N124">IFERROR(
    _xlfn.XLOOKUP(
        $A124,
        Table1[Location],
        INDEX(Table1[], , MATCH(N$1, Table1[#Headers], 0))
    ),
"")</f>
        <v>8962</v>
      </c>
      <c r="O124" s="28">
        <f t="shared" si="15"/>
        <v>149084</v>
      </c>
      <c r="Q124" s="28">
        <f t="shared" si="16"/>
        <v>35.619999999999997</v>
      </c>
      <c r="R124" s="28">
        <f t="shared" si="17"/>
        <v>56.800000000000004</v>
      </c>
      <c r="S124" s="28">
        <f t="shared" si="18"/>
        <v>98.54</v>
      </c>
      <c r="T124" s="28">
        <f t="shared" si="19"/>
        <v>125.8</v>
      </c>
      <c r="U124" s="28">
        <f t="shared" si="20"/>
        <v>153.75</v>
      </c>
      <c r="V124" s="28">
        <f t="shared" si="21"/>
        <v>162.5</v>
      </c>
      <c r="W124" s="28">
        <f t="shared" si="22"/>
        <v>142.35</v>
      </c>
      <c r="X124" s="28">
        <f t="shared" si="23"/>
        <v>123.60000000000001</v>
      </c>
      <c r="Y124" s="28">
        <f t="shared" si="24"/>
        <v>182.51</v>
      </c>
      <c r="Z124" s="28">
        <f t="shared" si="25"/>
        <v>126.54</v>
      </c>
      <c r="AA124" s="28">
        <f t="shared" si="26"/>
        <v>193.21</v>
      </c>
      <c r="AB124" s="28">
        <f t="shared" si="27"/>
        <v>89.62</v>
      </c>
      <c r="AC124" s="28">
        <f t="shared" si="28"/>
        <v>1490.8400000000001</v>
      </c>
    </row>
    <row r="125" spans="1:29" x14ac:dyDescent="0.3">
      <c r="A125" s="31" t="s">
        <v>211</v>
      </c>
      <c r="B125" s="32" t="str" cm="1">
        <f t="array" ref="B125">IFERROR(
    _xlfn.XLOOKUP(
        $A125,
        Table1[Location],
        INDEX(Table1[], , MATCH(B$1, Table1[#Headers], 0))
    ),
"")</f>
        <v>UT</v>
      </c>
      <c r="C125" s="28" cm="1">
        <f t="array" ref="C125">IFERROR(
    _xlfn.XLOOKUP(
        $A125,
        Table1[Location],
        INDEX(Table1[], , MATCH(C$1, Table1[#Headers], 0))
    ),
"")</f>
        <v>5326</v>
      </c>
      <c r="D125" s="28" cm="1">
        <f t="array" ref="D125">IFERROR(
    _xlfn.XLOOKUP(
        $A125,
        Table1[Location],
        INDEX(Table1[], , MATCH(D$1, Table1[#Headers], 0))
    ),
"")</f>
        <v>231.10868600000001</v>
      </c>
      <c r="E125" s="28" cm="1">
        <f t="array" ref="E125">IFERROR(
    _xlfn.XLOOKUP(
        $A125,
        Table1[Location],
        INDEX(Table1[], , MATCH(E$1, Table1[#Headers], 0))
    ),
"")</f>
        <v>7256</v>
      </c>
      <c r="F125" s="28" cm="1">
        <f t="array" ref="F125">IFERROR(
    _xlfn.XLOOKUP(
        $A125,
        Table1[Location],
        INDEX(Table1[], , MATCH(F$1, Table1[#Headers], 0))
    ),
"")</f>
        <v>15230</v>
      </c>
      <c r="G125" s="28" cm="1">
        <f t="array" ref="G125">IFERROR(
    _xlfn.XLOOKUP(
        $A125,
        Table1[Location],
        INDEX(Table1[], , MATCH(G$1, Table1[#Headers], 0))
    ),
"")</f>
        <v>17235</v>
      </c>
      <c r="H125" s="28" cm="1">
        <f t="array" ref="H125">IFERROR(
    _xlfn.XLOOKUP(
        $A125,
        Table1[Location],
        INDEX(Table1[], , MATCH(H$1, Table1[#Headers], 0))
    ),
"")</f>
        <v>15329</v>
      </c>
      <c r="I125" s="28" cm="1">
        <f t="array" ref="I125">IFERROR(
    _xlfn.XLOOKUP(
        $A125,
        Table1[Location],
        INDEX(Table1[], , MATCH(I$1, Table1[#Headers], 0))
    ),
"")</f>
        <v>16232</v>
      </c>
      <c r="J125" s="28" cm="1">
        <f t="array" ref="J125">IFERROR(
    _xlfn.XLOOKUP(
        $A125,
        Table1[Location],
        INDEX(Table1[], , MATCH(J$1, Table1[#Headers], 0))
    ),
"")</f>
        <v>8396.9202270000005</v>
      </c>
      <c r="K125" s="28" cm="1">
        <f t="array" ref="K125">IFERROR(
    _xlfn.XLOOKUP(
        $A125,
        Table1[Location],
        INDEX(Table1[], , MATCH(K$1, Table1[#Headers], 0))
    ),
"")</f>
        <v>10150</v>
      </c>
      <c r="L125" s="28" cm="1">
        <f t="array" ref="L125">IFERROR(
    _xlfn.XLOOKUP(
        $A125,
        Table1[Location],
        INDEX(Table1[], , MATCH(L$1, Table1[#Headers], 0))
    ),
"")</f>
        <v>15853.609501000001</v>
      </c>
      <c r="M125" s="28" cm="1">
        <f t="array" ref="M125">IFERROR(
    _xlfn.XLOOKUP(
        $A125,
        Table1[Location],
        INDEX(Table1[], , MATCH(M$1, Table1[#Headers], 0))
    ),
"")</f>
        <v>39221</v>
      </c>
      <c r="N125" s="28" cm="1">
        <f t="array" ref="N125">IFERROR(
    _xlfn.XLOOKUP(
        $A125,
        Table1[Location],
        INDEX(Table1[], , MATCH(N$1, Table1[#Headers], 0))
    ),
"")</f>
        <v>15326</v>
      </c>
      <c r="O125" s="28">
        <f t="shared" si="15"/>
        <v>165786.63841399999</v>
      </c>
      <c r="Q125" s="28">
        <f t="shared" si="16"/>
        <v>53.26</v>
      </c>
      <c r="R125" s="28">
        <f t="shared" si="17"/>
        <v>2.3110868600000001</v>
      </c>
      <c r="S125" s="28">
        <f t="shared" si="18"/>
        <v>72.56</v>
      </c>
      <c r="T125" s="28">
        <f t="shared" si="19"/>
        <v>152.30000000000001</v>
      </c>
      <c r="U125" s="28">
        <f t="shared" si="20"/>
        <v>172.35</v>
      </c>
      <c r="V125" s="28">
        <f t="shared" si="21"/>
        <v>153.29</v>
      </c>
      <c r="W125" s="28">
        <f t="shared" si="22"/>
        <v>162.32</v>
      </c>
      <c r="X125" s="28">
        <f t="shared" si="23"/>
        <v>83.969202270000011</v>
      </c>
      <c r="Y125" s="28">
        <f t="shared" si="24"/>
        <v>101.5</v>
      </c>
      <c r="Z125" s="28">
        <f t="shared" si="25"/>
        <v>158.53609501000003</v>
      </c>
      <c r="AA125" s="28">
        <f t="shared" si="26"/>
        <v>392.21000000000004</v>
      </c>
      <c r="AB125" s="28">
        <f t="shared" si="27"/>
        <v>153.26</v>
      </c>
      <c r="AC125" s="28">
        <f t="shared" si="28"/>
        <v>1657.86638414</v>
      </c>
    </row>
    <row r="126" spans="1:29" x14ac:dyDescent="0.3">
      <c r="A126" s="29" t="s">
        <v>213</v>
      </c>
      <c r="B126" s="32" t="str" cm="1">
        <f t="array" ref="B126">IFERROR(
    _xlfn.XLOOKUP(
        $A126,
        Table1[Location],
        INDEX(Table1[], , MATCH(B$1, Table1[#Headers], 0))
    ),
"")</f>
        <v>VA</v>
      </c>
      <c r="C126" s="28" cm="1">
        <f t="array" ref="C126">IFERROR(
    _xlfn.XLOOKUP(
        $A126,
        Table1[Location],
        INDEX(Table1[], , MATCH(C$1, Table1[#Headers], 0))
    ),
"")</f>
        <v>49250</v>
      </c>
      <c r="D126" s="28" cm="1">
        <f t="array" ref="D126">IFERROR(
    _xlfn.XLOOKUP(
        $A126,
        Table1[Location],
        INDEX(Table1[], , MATCH(D$1, Table1[#Headers], 0))
    ),
"")</f>
        <v>23349</v>
      </c>
      <c r="E126" s="28" cm="1">
        <f t="array" ref="E126">IFERROR(
    _xlfn.XLOOKUP(
        $A126,
        Table1[Location],
        INDEX(Table1[], , MATCH(E$1, Table1[#Headers], 0))
    ),
"")</f>
        <v>35393</v>
      </c>
      <c r="F126" s="28" cm="1">
        <f t="array" ref="F126">IFERROR(
    _xlfn.XLOOKUP(
        $A126,
        Table1[Location],
        INDEX(Table1[], , MATCH(F$1, Table1[#Headers], 0))
    ),
"")</f>
        <v>47406</v>
      </c>
      <c r="G126" s="28" cm="1">
        <f t="array" ref="G126">IFERROR(
    _xlfn.XLOOKUP(
        $A126,
        Table1[Location],
        INDEX(Table1[], , MATCH(G$1, Table1[#Headers], 0))
    ),
"")</f>
        <v>67543</v>
      </c>
      <c r="H126" s="28" cm="1">
        <f t="array" ref="H126">IFERROR(
    _xlfn.XLOOKUP(
        $A126,
        Table1[Location],
        INDEX(Table1[], , MATCH(H$1, Table1[#Headers], 0))
    ),
"")</f>
        <v>136007</v>
      </c>
      <c r="I126" s="28" cm="1">
        <f t="array" ref="I126">IFERROR(
    _xlfn.XLOOKUP(
        $A126,
        Table1[Location],
        INDEX(Table1[], , MATCH(I$1, Table1[#Headers], 0))
    ),
"")</f>
        <v>174023</v>
      </c>
      <c r="J126" s="28" cm="1">
        <f t="array" ref="J126">IFERROR(
    _xlfn.XLOOKUP(
        $A126,
        Table1[Location],
        INDEX(Table1[], , MATCH(J$1, Table1[#Headers], 0))
    ),
"")</f>
        <v>65107</v>
      </c>
      <c r="K126" s="28" cm="1">
        <f t="array" ref="K126">IFERROR(
    _xlfn.XLOOKUP(
        $A126,
        Table1[Location],
        INDEX(Table1[], , MATCH(K$1, Table1[#Headers], 0))
    ),
"")</f>
        <v>176842</v>
      </c>
      <c r="L126" s="28" cm="1">
        <f t="array" ref="L126">IFERROR(
    _xlfn.XLOOKUP(
        $A126,
        Table1[Location],
        INDEX(Table1[], , MATCH(L$1, Table1[#Headers], 0))
    ),
"")</f>
        <v>152107</v>
      </c>
      <c r="M126" s="28" cm="1">
        <f t="array" ref="M126">IFERROR(
    _xlfn.XLOOKUP(
        $A126,
        Table1[Location],
        INDEX(Table1[], , MATCH(M$1, Table1[#Headers], 0))
    ),
"")</f>
        <v>62840</v>
      </c>
      <c r="N126" s="28" cm="1">
        <f t="array" ref="N126">IFERROR(
    _xlfn.XLOOKUP(
        $A126,
        Table1[Location],
        INDEX(Table1[], , MATCH(N$1, Table1[#Headers], 0))
    ),
"")</f>
        <v>71808</v>
      </c>
      <c r="O126" s="28">
        <f t="shared" si="15"/>
        <v>1061675</v>
      </c>
      <c r="Q126" s="28">
        <f t="shared" si="16"/>
        <v>492.5</v>
      </c>
      <c r="R126" s="28">
        <f t="shared" si="17"/>
        <v>233.49</v>
      </c>
      <c r="S126" s="28">
        <f t="shared" si="18"/>
        <v>353.93</v>
      </c>
      <c r="T126" s="28">
        <f t="shared" si="19"/>
        <v>474.06</v>
      </c>
      <c r="U126" s="28">
        <f t="shared" si="20"/>
        <v>675.43000000000006</v>
      </c>
      <c r="V126" s="28">
        <f t="shared" si="21"/>
        <v>1360.07</v>
      </c>
      <c r="W126" s="28">
        <f t="shared" si="22"/>
        <v>1740.23</v>
      </c>
      <c r="X126" s="28">
        <f t="shared" si="23"/>
        <v>651.07000000000005</v>
      </c>
      <c r="Y126" s="28">
        <f t="shared" si="24"/>
        <v>1768.42</v>
      </c>
      <c r="Z126" s="28">
        <f t="shared" si="25"/>
        <v>1521.07</v>
      </c>
      <c r="AA126" s="28">
        <f t="shared" si="26"/>
        <v>628.4</v>
      </c>
      <c r="AB126" s="28">
        <f t="shared" si="27"/>
        <v>718.08</v>
      </c>
      <c r="AC126" s="28">
        <f t="shared" si="28"/>
        <v>10616.749999999998</v>
      </c>
    </row>
    <row r="127" spans="1:29" x14ac:dyDescent="0.3">
      <c r="A127" s="29" t="s">
        <v>214</v>
      </c>
      <c r="B127" s="32" t="str" cm="1">
        <f t="array" ref="B127">IFERROR(
    _xlfn.XLOOKUP(
        $A127,
        Table1[Location],
        INDEX(Table1[], , MATCH(B$1, Table1[#Headers], 0))
    ),
"")</f>
        <v>VA</v>
      </c>
      <c r="C127" s="28" cm="1">
        <f t="array" ref="C127">IFERROR(
    _xlfn.XLOOKUP(
        $A127,
        Table1[Location],
        INDEX(Table1[], , MATCH(C$1, Table1[#Headers], 0))
    ),
"")</f>
        <v>15850</v>
      </c>
      <c r="D127" s="28" cm="1">
        <f t="array" ref="D127">IFERROR(
    _xlfn.XLOOKUP(
        $A127,
        Table1[Location],
        INDEX(Table1[], , MATCH(D$1, Table1[#Headers], 0))
    ),
"")</f>
        <v>22944</v>
      </c>
      <c r="E127" s="28" cm="1">
        <f t="array" ref="E127">IFERROR(
    _xlfn.XLOOKUP(
        $A127,
        Table1[Location],
        INDEX(Table1[], , MATCH(E$1, Table1[#Headers], 0))
    ),
"")</f>
        <v>5392</v>
      </c>
      <c r="F127" s="28" cm="1">
        <f t="array" ref="F127">IFERROR(
    _xlfn.XLOOKUP(
        $A127,
        Table1[Location],
        INDEX(Table1[], , MATCH(F$1, Table1[#Headers], 0))
    ),
"")</f>
        <v>31176</v>
      </c>
      <c r="G127" s="28" cm="1">
        <f t="array" ref="G127">IFERROR(
    _xlfn.XLOOKUP(
        $A127,
        Table1[Location],
        INDEX(Table1[], , MATCH(G$1, Table1[#Headers], 0))
    ),
"")</f>
        <v>26220</v>
      </c>
      <c r="H127" s="28" cm="1">
        <f t="array" ref="H127">IFERROR(
    _xlfn.XLOOKUP(
        $A127,
        Table1[Location],
        INDEX(Table1[], , MATCH(H$1, Table1[#Headers], 0))
    ),
"")</f>
        <v>59768</v>
      </c>
      <c r="I127" s="28" cm="1">
        <f t="array" ref="I127">IFERROR(
    _xlfn.XLOOKUP(
        $A127,
        Table1[Location],
        INDEX(Table1[], , MATCH(I$1, Table1[#Headers], 0))
    ),
"")</f>
        <v>33315</v>
      </c>
      <c r="J127" s="28" cm="1">
        <f t="array" ref="J127">IFERROR(
    _xlfn.XLOOKUP(
        $A127,
        Table1[Location],
        INDEX(Table1[], , MATCH(J$1, Table1[#Headers], 0))
    ),
"")</f>
        <v>41830</v>
      </c>
      <c r="K127" s="28" cm="1">
        <f t="array" ref="K127">IFERROR(
    _xlfn.XLOOKUP(
        $A127,
        Table1[Location],
        INDEX(Table1[], , MATCH(K$1, Table1[#Headers], 0))
    ),
"")</f>
        <v>52522</v>
      </c>
      <c r="L127" s="28" cm="1">
        <f t="array" ref="L127">IFERROR(
    _xlfn.XLOOKUP(
        $A127,
        Table1[Location],
        INDEX(Table1[], , MATCH(L$1, Table1[#Headers], 0))
    ),
"")</f>
        <v>43090</v>
      </c>
      <c r="M127" s="28" cm="1">
        <f t="array" ref="M127">IFERROR(
    _xlfn.XLOOKUP(
        $A127,
        Table1[Location],
        INDEX(Table1[], , MATCH(M$1, Table1[#Headers], 0))
    ),
"")</f>
        <v>18852</v>
      </c>
      <c r="N127" s="28" cm="1">
        <f t="array" ref="N127">IFERROR(
    _xlfn.XLOOKUP(
        $A127,
        Table1[Location],
        INDEX(Table1[], , MATCH(N$1, Table1[#Headers], 0))
    ),
"")</f>
        <v>9464</v>
      </c>
      <c r="O127" s="28">
        <f t="shared" si="15"/>
        <v>360423</v>
      </c>
      <c r="Q127" s="28">
        <f t="shared" si="16"/>
        <v>158.5</v>
      </c>
      <c r="R127" s="28">
        <f t="shared" si="17"/>
        <v>229.44</v>
      </c>
      <c r="S127" s="28">
        <f t="shared" si="18"/>
        <v>53.92</v>
      </c>
      <c r="T127" s="28">
        <f t="shared" si="19"/>
        <v>311.76</v>
      </c>
      <c r="U127" s="28">
        <f t="shared" si="20"/>
        <v>262.2</v>
      </c>
      <c r="V127" s="28">
        <f t="shared" si="21"/>
        <v>597.68000000000006</v>
      </c>
      <c r="W127" s="28">
        <f t="shared" si="22"/>
        <v>333.15000000000003</v>
      </c>
      <c r="X127" s="28">
        <f t="shared" si="23"/>
        <v>418.3</v>
      </c>
      <c r="Y127" s="28">
        <f t="shared" si="24"/>
        <v>525.22</v>
      </c>
      <c r="Z127" s="28">
        <f t="shared" si="25"/>
        <v>430.90000000000003</v>
      </c>
      <c r="AA127" s="28">
        <f t="shared" si="26"/>
        <v>188.52</v>
      </c>
      <c r="AB127" s="28">
        <f t="shared" si="27"/>
        <v>94.64</v>
      </c>
      <c r="AC127" s="28">
        <f t="shared" si="28"/>
        <v>3604.23</v>
      </c>
    </row>
    <row r="128" spans="1:29" x14ac:dyDescent="0.3">
      <c r="A128" s="31" t="s">
        <v>215</v>
      </c>
      <c r="B128" s="32" t="str" cm="1">
        <f t="array" ref="B128">IFERROR(
    _xlfn.XLOOKUP(
        $A128,
        Table1[Location],
        INDEX(Table1[], , MATCH(B$1, Table1[#Headers], 0))
    ),
"")</f>
        <v>WA</v>
      </c>
      <c r="C128" s="28" cm="1">
        <f t="array" ref="C128">IFERROR(
    _xlfn.XLOOKUP(
        $A128,
        Table1[Location],
        INDEX(Table1[], , MATCH(C$1, Table1[#Headers], 0))
    ),
"")</f>
        <v>1146.2263579999999</v>
      </c>
      <c r="D128" s="28" cm="1">
        <f t="array" ref="D128">IFERROR(
    _xlfn.XLOOKUP(
        $A128,
        Table1[Location],
        INDEX(Table1[], , MATCH(D$1, Table1[#Headers], 0))
    ),
"")</f>
        <v>1146.2263579999999</v>
      </c>
      <c r="E128" s="28" cm="1">
        <f t="array" ref="E128">IFERROR(
    _xlfn.XLOOKUP(
        $A128,
        Table1[Location],
        INDEX(Table1[], , MATCH(E$1, Table1[#Headers], 0))
    ),
"")</f>
        <v>9086.6133059999993</v>
      </c>
      <c r="F128" s="28" cm="1">
        <f t="array" ref="F128">IFERROR(
    _xlfn.XLOOKUP(
        $A128,
        Table1[Location],
        INDEX(Table1[], , MATCH(F$1, Table1[#Headers], 0))
    ),
"")</f>
        <v>26144.807615999998</v>
      </c>
      <c r="G128" s="28" cm="1">
        <f t="array" ref="G128">IFERROR(
    _xlfn.XLOOKUP(
        $A128,
        Table1[Location],
        INDEX(Table1[], , MATCH(G$1, Table1[#Headers], 0))
    ),
"")</f>
        <v>17961.944631999999</v>
      </c>
      <c r="H128" s="28" cm="1">
        <f t="array" ref="H128">IFERROR(
    _xlfn.XLOOKUP(
        $A128,
        Table1[Location],
        INDEX(Table1[], , MATCH(H$1, Table1[#Headers], 0))
    ),
"")</f>
        <v>25056.381641</v>
      </c>
      <c r="I128" s="28" cm="1">
        <f t="array" ref="I128">IFERROR(
    _xlfn.XLOOKUP(
        $A128,
        Table1[Location],
        INDEX(Table1[], , MATCH(I$1, Table1[#Headers], 0))
    ),
"")</f>
        <v>41811</v>
      </c>
      <c r="J128" s="28" cm="1">
        <f t="array" ref="J128">IFERROR(
    _xlfn.XLOOKUP(
        $A128,
        Table1[Location],
        INDEX(Table1[], , MATCH(J$1, Table1[#Headers], 0))
    ),
"")</f>
        <v>62548</v>
      </c>
      <c r="K128" s="28" cm="1">
        <f t="array" ref="K128">IFERROR(
    _xlfn.XLOOKUP(
        $A128,
        Table1[Location],
        INDEX(Table1[], , MATCH(K$1, Table1[#Headers], 0))
    ),
"")</f>
        <v>27741</v>
      </c>
      <c r="L128" s="28" cm="1">
        <f t="array" ref="L128">IFERROR(
    _xlfn.XLOOKUP(
        $A128,
        Table1[Location],
        INDEX(Table1[], , MATCH(L$1, Table1[#Headers], 0))
    ),
"")</f>
        <v>45717</v>
      </c>
      <c r="M128" s="28" cm="1">
        <f t="array" ref="M128">IFERROR(
    _xlfn.XLOOKUP(
        $A128,
        Table1[Location],
        INDEX(Table1[], , MATCH(M$1, Table1[#Headers], 0))
    ),
"")</f>
        <v>8685</v>
      </c>
      <c r="N128" s="28" cm="1">
        <f t="array" ref="N128">IFERROR(
    _xlfn.XLOOKUP(
        $A128,
        Table1[Location],
        INDEX(Table1[], , MATCH(N$1, Table1[#Headers], 0))
    ),
"")</f>
        <v>6748.2933350000003</v>
      </c>
      <c r="O128" s="28">
        <f t="shared" si="15"/>
        <v>273792.49324599997</v>
      </c>
      <c r="Q128" s="28">
        <f t="shared" si="16"/>
        <v>11.462263579999998</v>
      </c>
      <c r="R128" s="28">
        <f t="shared" si="17"/>
        <v>11.462263579999998</v>
      </c>
      <c r="S128" s="28">
        <f t="shared" si="18"/>
        <v>90.866133059999996</v>
      </c>
      <c r="T128" s="28">
        <f t="shared" si="19"/>
        <v>261.44807615999997</v>
      </c>
      <c r="U128" s="28">
        <f t="shared" si="20"/>
        <v>179.61944631999998</v>
      </c>
      <c r="V128" s="28">
        <f t="shared" si="21"/>
        <v>250.56381641000002</v>
      </c>
      <c r="W128" s="28">
        <f t="shared" si="22"/>
        <v>418.11</v>
      </c>
      <c r="X128" s="28">
        <f t="shared" si="23"/>
        <v>625.48</v>
      </c>
      <c r="Y128" s="28">
        <f t="shared" si="24"/>
        <v>277.41000000000003</v>
      </c>
      <c r="Z128" s="28">
        <f t="shared" si="25"/>
        <v>457.17</v>
      </c>
      <c r="AA128" s="28">
        <f t="shared" si="26"/>
        <v>86.850000000000009</v>
      </c>
      <c r="AB128" s="28">
        <f t="shared" si="27"/>
        <v>67.48293335000001</v>
      </c>
      <c r="AC128" s="28">
        <f t="shared" si="28"/>
        <v>2737.92493246</v>
      </c>
    </row>
    <row r="129" spans="1:29" x14ac:dyDescent="0.3">
      <c r="A129" s="56"/>
      <c r="B129" s="57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>
        <f>AC128+AC105+AC99+AC45+AC39+AC32+AC26+AC19+AC17+AC15</f>
        <v>58190.41810053878</v>
      </c>
    </row>
    <row r="131" spans="1:29" x14ac:dyDescent="0.3">
      <c r="A131" s="2" t="s">
        <v>259</v>
      </c>
    </row>
    <row r="132" spans="1:29" x14ac:dyDescent="0.3">
      <c r="A132" s="31" t="s">
        <v>231</v>
      </c>
      <c r="B132" s="32" t="str" cm="1">
        <f t="array" ref="B132">IFERROR(
    _xlfn.XLOOKUP(
        $A132,
        Table1[Location],
        INDEX(Table1[], , MATCH(B$1, Table1[#Headers], 0))
    ),
"")</f>
        <v>CO</v>
      </c>
    </row>
    <row r="133" spans="1:29" x14ac:dyDescent="0.3">
      <c r="A133" s="31" t="s">
        <v>79</v>
      </c>
      <c r="B133" s="32" t="str" cm="1">
        <f t="array" ref="B133">IFERROR(
    _xlfn.XLOOKUP(
        $A133,
        Table1[Location],
        INDEX(Table1[], , MATCH(B$1, Table1[#Headers], 0))
    ),
"")</f>
        <v>FL</v>
      </c>
    </row>
    <row r="134" spans="1:29" x14ac:dyDescent="0.3">
      <c r="A134" s="31" t="s">
        <v>76</v>
      </c>
      <c r="B134" s="32" t="str" cm="1">
        <f t="array" ref="B134">IFERROR(
    _xlfn.XLOOKUP(
        $A134,
        Table1[Location],
        INDEX(Table1[], , MATCH(B$1, Table1[#Headers], 0))
    ),
"")</f>
        <v>FL</v>
      </c>
    </row>
    <row r="135" spans="1:29" x14ac:dyDescent="0.3">
      <c r="A135" s="31" t="s">
        <v>86</v>
      </c>
      <c r="B135" s="32" t="str" cm="1">
        <f t="array" ref="B135">IFERROR(
    _xlfn.XLOOKUP(
        $A135,
        Table1[Location],
        INDEX(Table1[], , MATCH(B$1, Table1[#Headers], 0))
    ),
"")</f>
        <v>GA</v>
      </c>
    </row>
    <row r="136" spans="1:29" x14ac:dyDescent="0.3">
      <c r="A136" s="31" t="s">
        <v>95</v>
      </c>
      <c r="B136" s="32" t="str" cm="1">
        <f t="array" ref="B136">IFERROR(
    _xlfn.XLOOKUP(
        $A136,
        Table1[Location],
        INDEX(Table1[], , MATCH(B$1, Table1[#Headers], 0))
    ),
"")</f>
        <v>IL</v>
      </c>
    </row>
    <row r="137" spans="1:29" x14ac:dyDescent="0.3">
      <c r="A137" s="31" t="s">
        <v>106</v>
      </c>
      <c r="B137" s="32" t="str" cm="1">
        <f t="array" ref="B137">IFERROR(
    _xlfn.XLOOKUP(
        $A137,
        Table1[Location],
        INDEX(Table1[], , MATCH(B$1, Table1[#Headers], 0))
    ),
"")</f>
        <v>MA</v>
      </c>
    </row>
    <row r="138" spans="1:29" x14ac:dyDescent="0.3">
      <c r="A138" s="31" t="s">
        <v>116</v>
      </c>
      <c r="B138" s="32" t="str" cm="1">
        <f t="array" ref="B138">IFERROR(
    _xlfn.XLOOKUP(
        $A138,
        Table1[Location],
        INDEX(Table1[], , MATCH(B$1, Table1[#Headers], 0))
    ),
"")</f>
        <v>NC</v>
      </c>
    </row>
    <row r="139" spans="1:29" x14ac:dyDescent="0.3">
      <c r="A139" s="31" t="s">
        <v>181</v>
      </c>
      <c r="B139" s="32" t="str" cm="1">
        <f t="array" ref="B139">IFERROR(
    _xlfn.XLOOKUP(
        $A139,
        Table1[Location],
        INDEX(Table1[], , MATCH(B$1, Table1[#Headers], 0))
    ),
"")</f>
        <v>NY</v>
      </c>
    </row>
    <row r="140" spans="1:29" x14ac:dyDescent="0.3">
      <c r="A140" s="31" t="s">
        <v>187</v>
      </c>
      <c r="B140" s="32" t="str" cm="1">
        <f t="array" ref="B140">IFERROR(
    _xlfn.XLOOKUP(
        $A140,
        Table1[Location],
        INDEX(Table1[], , MATCH(B$1, Table1[#Headers], 0))
    ),
"")</f>
        <v>OR</v>
      </c>
    </row>
    <row r="141" spans="1:29" x14ac:dyDescent="0.3">
      <c r="A141" s="31" t="s">
        <v>211</v>
      </c>
      <c r="B141" s="32" t="str" cm="1">
        <f t="array" ref="B141">IFERROR(
    _xlfn.XLOOKUP(
        $A141,
        Table1[Location],
        INDEX(Table1[], , MATCH(B$1, Table1[#Headers], 0))
    ),
"")</f>
        <v>UT</v>
      </c>
    </row>
    <row r="142" spans="1:29" x14ac:dyDescent="0.3">
      <c r="A142" s="31" t="s">
        <v>215</v>
      </c>
      <c r="B142" s="32" t="str" cm="1">
        <f t="array" ref="B142">IFERROR(
    _xlfn.XLOOKUP(
        $A142,
        Table1[Location],
        INDEX(Table1[], , MATCH(B$1, Table1[#Headers], 0))
    ),
"")</f>
        <v>WA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C46C-8B6F-43D9-8F85-E94BF72EFA95}">
  <dimension ref="A1:H87"/>
  <sheetViews>
    <sheetView topLeftCell="A50" workbookViewId="0">
      <selection activeCell="B58" sqref="B58"/>
    </sheetView>
  </sheetViews>
  <sheetFormatPr defaultRowHeight="14.4" x14ac:dyDescent="0.3"/>
  <cols>
    <col min="1" max="1" width="28" customWidth="1"/>
    <col min="2" max="2" width="19.33203125" style="5" customWidth="1"/>
    <col min="3" max="3" width="14.6640625" style="5" customWidth="1"/>
    <col min="6" max="6" width="26.5546875" customWidth="1"/>
    <col min="7" max="7" width="20.77734375" customWidth="1"/>
    <col min="8" max="8" width="16.21875" customWidth="1"/>
  </cols>
  <sheetData>
    <row r="1" spans="1:8" x14ac:dyDescent="0.3">
      <c r="A1" s="1" t="s">
        <v>0</v>
      </c>
      <c r="B1" s="33" t="s">
        <v>288</v>
      </c>
      <c r="C1" s="33" t="s">
        <v>287</v>
      </c>
      <c r="F1" s="1" t="s">
        <v>282</v>
      </c>
      <c r="G1" s="33" t="s">
        <v>281</v>
      </c>
      <c r="H1" s="33" t="s">
        <v>280</v>
      </c>
    </row>
    <row r="2" spans="1:8" x14ac:dyDescent="0.3">
      <c r="A2" t="s">
        <v>76</v>
      </c>
      <c r="B2" s="5">
        <v>140374.72</v>
      </c>
      <c r="C2" s="5">
        <v>91</v>
      </c>
      <c r="F2" t="s">
        <v>76</v>
      </c>
      <c r="G2" s="5">
        <v>1039728.69</v>
      </c>
      <c r="H2" s="5">
        <v>650</v>
      </c>
    </row>
    <row r="3" spans="1:8" x14ac:dyDescent="0.3">
      <c r="A3" t="s">
        <v>191</v>
      </c>
      <c r="B3" s="5">
        <v>350908.47</v>
      </c>
      <c r="C3" s="5">
        <v>482</v>
      </c>
      <c r="F3" t="s">
        <v>191</v>
      </c>
      <c r="G3" s="5">
        <v>585213.56000000006</v>
      </c>
      <c r="H3" s="5">
        <v>644</v>
      </c>
    </row>
    <row r="4" spans="1:8" x14ac:dyDescent="0.3">
      <c r="A4" t="s">
        <v>202</v>
      </c>
      <c r="B4" s="5">
        <v>258449.54</v>
      </c>
      <c r="C4" s="5">
        <v>218</v>
      </c>
      <c r="F4" t="s">
        <v>202</v>
      </c>
      <c r="G4" s="5">
        <v>628477.25</v>
      </c>
      <c r="H4" s="5">
        <v>242</v>
      </c>
    </row>
    <row r="5" spans="1:8" x14ac:dyDescent="0.3">
      <c r="A5" t="s">
        <v>286</v>
      </c>
      <c r="B5" s="5">
        <v>354603.58</v>
      </c>
      <c r="C5" s="5">
        <v>291</v>
      </c>
      <c r="F5" t="s">
        <v>279</v>
      </c>
      <c r="G5" s="5">
        <v>493962.63</v>
      </c>
      <c r="H5" s="5">
        <v>279</v>
      </c>
    </row>
    <row r="6" spans="1:8" x14ac:dyDescent="0.3">
      <c r="A6" t="s">
        <v>122</v>
      </c>
      <c r="B6" s="5">
        <v>460302.53</v>
      </c>
      <c r="C6" s="5">
        <v>269</v>
      </c>
      <c r="F6" t="s">
        <v>122</v>
      </c>
      <c r="G6" s="5">
        <v>534990.51</v>
      </c>
      <c r="H6" s="5">
        <v>467</v>
      </c>
    </row>
    <row r="7" spans="1:8" x14ac:dyDescent="0.3">
      <c r="A7" t="s">
        <v>64</v>
      </c>
      <c r="B7" s="5">
        <v>136073.66</v>
      </c>
      <c r="C7" s="5">
        <v>159</v>
      </c>
      <c r="F7" t="s">
        <v>278</v>
      </c>
      <c r="G7" s="5">
        <v>327352.59000000003</v>
      </c>
      <c r="H7" s="5">
        <v>267</v>
      </c>
    </row>
    <row r="8" spans="1:8" x14ac:dyDescent="0.3">
      <c r="A8" t="s">
        <v>277</v>
      </c>
      <c r="B8" s="5">
        <v>36254.449999999997</v>
      </c>
      <c r="C8" s="5">
        <v>52</v>
      </c>
      <c r="F8" t="s">
        <v>277</v>
      </c>
      <c r="G8" s="5">
        <v>416589.83</v>
      </c>
      <c r="H8" s="5">
        <v>287</v>
      </c>
    </row>
    <row r="9" spans="1:8" x14ac:dyDescent="0.3">
      <c r="A9" t="s">
        <v>90</v>
      </c>
      <c r="B9" s="5">
        <v>8462.75</v>
      </c>
      <c r="C9" s="5">
        <v>19</v>
      </c>
      <c r="F9" t="s">
        <v>276</v>
      </c>
      <c r="G9" s="5">
        <v>250423.67</v>
      </c>
      <c r="H9" s="5">
        <v>242</v>
      </c>
    </row>
    <row r="10" spans="1:8" x14ac:dyDescent="0.3">
      <c r="A10" t="s">
        <v>183</v>
      </c>
      <c r="B10" s="5">
        <v>140586.22</v>
      </c>
      <c r="C10" s="5">
        <v>184</v>
      </c>
      <c r="F10" t="s">
        <v>200</v>
      </c>
      <c r="G10" s="5">
        <v>247220.52</v>
      </c>
      <c r="H10" s="5">
        <v>201</v>
      </c>
    </row>
    <row r="11" spans="1:8" x14ac:dyDescent="0.3">
      <c r="A11" t="s">
        <v>200</v>
      </c>
      <c r="B11" s="5">
        <v>123655.81</v>
      </c>
      <c r="C11" s="5">
        <v>140</v>
      </c>
      <c r="F11" t="s">
        <v>183</v>
      </c>
      <c r="G11" s="5">
        <v>259396.06</v>
      </c>
      <c r="H11" s="5">
        <v>232</v>
      </c>
    </row>
    <row r="12" spans="1:8" x14ac:dyDescent="0.3">
      <c r="A12" t="s">
        <v>63</v>
      </c>
      <c r="B12" s="5">
        <v>118089.65</v>
      </c>
      <c r="C12" s="5">
        <v>137</v>
      </c>
      <c r="F12" t="s">
        <v>275</v>
      </c>
      <c r="G12" s="5">
        <v>287960.65000000002</v>
      </c>
      <c r="H12" s="5">
        <v>262</v>
      </c>
    </row>
    <row r="13" spans="1:8" x14ac:dyDescent="0.3">
      <c r="A13" t="s">
        <v>203</v>
      </c>
      <c r="B13" s="5">
        <v>198864.05</v>
      </c>
      <c r="C13" s="5">
        <v>51</v>
      </c>
      <c r="F13" t="s">
        <v>274</v>
      </c>
      <c r="G13" s="5">
        <v>275360.58</v>
      </c>
      <c r="H13" s="5">
        <v>112</v>
      </c>
    </row>
    <row r="14" spans="1:8" x14ac:dyDescent="0.3">
      <c r="A14" t="s">
        <v>65</v>
      </c>
      <c r="B14" s="5">
        <v>700</v>
      </c>
      <c r="C14" s="5">
        <v>2</v>
      </c>
      <c r="F14" t="s">
        <v>88</v>
      </c>
      <c r="G14" s="5">
        <v>234960.16</v>
      </c>
      <c r="H14" s="5">
        <v>320</v>
      </c>
    </row>
    <row r="15" spans="1:8" x14ac:dyDescent="0.3">
      <c r="A15" t="s">
        <v>108</v>
      </c>
      <c r="B15" s="5">
        <v>103799.61</v>
      </c>
      <c r="C15" s="5">
        <v>165</v>
      </c>
      <c r="F15" t="s">
        <v>108</v>
      </c>
      <c r="G15" s="5">
        <v>227414.11</v>
      </c>
      <c r="H15" s="5">
        <v>224</v>
      </c>
    </row>
    <row r="16" spans="1:8" x14ac:dyDescent="0.3">
      <c r="A16" t="s">
        <v>197</v>
      </c>
      <c r="B16" s="5">
        <v>197256.75</v>
      </c>
      <c r="C16" s="5">
        <v>221</v>
      </c>
      <c r="F16" t="s">
        <v>61</v>
      </c>
      <c r="G16" s="5">
        <v>223415.82</v>
      </c>
      <c r="H16" s="5">
        <v>187</v>
      </c>
    </row>
    <row r="17" spans="1:8" x14ac:dyDescent="0.3">
      <c r="A17" t="s">
        <v>61</v>
      </c>
      <c r="B17" s="5">
        <v>177389.09</v>
      </c>
      <c r="C17" s="5">
        <v>174</v>
      </c>
      <c r="F17" t="s">
        <v>197</v>
      </c>
      <c r="G17" s="5">
        <v>222003.75</v>
      </c>
      <c r="H17" s="5">
        <v>185</v>
      </c>
    </row>
    <row r="18" spans="1:8" x14ac:dyDescent="0.3">
      <c r="A18" t="s">
        <v>79</v>
      </c>
      <c r="B18" s="5">
        <v>139953.24</v>
      </c>
      <c r="C18" s="5">
        <v>232</v>
      </c>
      <c r="F18" t="s">
        <v>79</v>
      </c>
      <c r="G18" s="5">
        <v>977761.42999999993</v>
      </c>
      <c r="H18" s="5">
        <v>202</v>
      </c>
    </row>
    <row r="19" spans="1:8" x14ac:dyDescent="0.3">
      <c r="A19" t="s">
        <v>86</v>
      </c>
      <c r="B19" s="5">
        <v>113658.73</v>
      </c>
      <c r="C19" s="5">
        <v>178</v>
      </c>
      <c r="F19" t="s">
        <v>74</v>
      </c>
      <c r="G19" s="5">
        <v>190735.5</v>
      </c>
      <c r="H19" s="5">
        <v>215</v>
      </c>
    </row>
    <row r="20" spans="1:8" x14ac:dyDescent="0.3">
      <c r="A20" t="s">
        <v>74</v>
      </c>
      <c r="B20" s="5">
        <v>146935</v>
      </c>
      <c r="C20" s="5">
        <v>217</v>
      </c>
      <c r="F20" t="s">
        <v>86</v>
      </c>
      <c r="G20" s="5">
        <v>397233.82</v>
      </c>
      <c r="H20" s="5">
        <v>220</v>
      </c>
    </row>
    <row r="21" spans="1:8" x14ac:dyDescent="0.3">
      <c r="A21" t="s">
        <v>205</v>
      </c>
      <c r="B21" s="5">
        <v>4820.6499999999996</v>
      </c>
      <c r="C21" s="5">
        <v>13</v>
      </c>
      <c r="F21" t="s">
        <v>89</v>
      </c>
      <c r="G21" s="5">
        <v>203077.07</v>
      </c>
      <c r="H21" s="5">
        <v>161</v>
      </c>
    </row>
    <row r="22" spans="1:8" x14ac:dyDescent="0.3">
      <c r="A22" t="s">
        <v>114</v>
      </c>
      <c r="B22" s="5">
        <v>72469.69</v>
      </c>
      <c r="C22" s="5">
        <v>40</v>
      </c>
      <c r="F22" t="s">
        <v>273</v>
      </c>
      <c r="G22" s="5">
        <v>143933.25</v>
      </c>
      <c r="H22" s="5">
        <v>204</v>
      </c>
    </row>
    <row r="23" spans="1:8" x14ac:dyDescent="0.3">
      <c r="A23" t="s">
        <v>193</v>
      </c>
      <c r="B23" s="5">
        <v>120956</v>
      </c>
      <c r="C23" s="5">
        <v>173</v>
      </c>
      <c r="F23" t="s">
        <v>272</v>
      </c>
      <c r="G23" s="5">
        <v>395464.73</v>
      </c>
      <c r="H23" s="5">
        <v>676</v>
      </c>
    </row>
    <row r="24" spans="1:8" x14ac:dyDescent="0.3">
      <c r="A24" t="s">
        <v>178</v>
      </c>
      <c r="B24" s="5">
        <v>190331.01</v>
      </c>
      <c r="C24" s="5">
        <v>237</v>
      </c>
      <c r="F24" t="s">
        <v>205</v>
      </c>
      <c r="G24" s="5">
        <v>145625.35</v>
      </c>
      <c r="H24" s="5">
        <v>206</v>
      </c>
    </row>
    <row r="25" spans="1:8" x14ac:dyDescent="0.3">
      <c r="A25" t="s">
        <v>104</v>
      </c>
      <c r="B25" s="5">
        <v>170691.54</v>
      </c>
      <c r="C25" s="5">
        <v>162</v>
      </c>
      <c r="F25" t="s">
        <v>114</v>
      </c>
      <c r="G25" s="5">
        <v>358737.95</v>
      </c>
      <c r="H25" s="5">
        <v>186</v>
      </c>
    </row>
    <row r="26" spans="1:8" x14ac:dyDescent="0.3">
      <c r="A26" t="s">
        <v>121</v>
      </c>
      <c r="B26" s="5">
        <v>58601.05</v>
      </c>
      <c r="C26" s="5">
        <v>151</v>
      </c>
      <c r="F26" t="s">
        <v>215</v>
      </c>
      <c r="G26" s="5">
        <v>163087.66</v>
      </c>
      <c r="H26" s="5">
        <v>192</v>
      </c>
    </row>
    <row r="27" spans="1:8" x14ac:dyDescent="0.3">
      <c r="A27" t="s">
        <v>195</v>
      </c>
      <c r="B27" s="5">
        <v>151972.89000000001</v>
      </c>
      <c r="C27" s="5">
        <v>262</v>
      </c>
      <c r="F27" t="s">
        <v>271</v>
      </c>
      <c r="G27" s="5">
        <v>170710.43</v>
      </c>
      <c r="H27" s="5">
        <v>164</v>
      </c>
    </row>
    <row r="28" spans="1:8" x14ac:dyDescent="0.3">
      <c r="A28" t="s">
        <v>118</v>
      </c>
      <c r="B28" s="5">
        <v>67330.31</v>
      </c>
      <c r="C28" s="5">
        <v>108</v>
      </c>
      <c r="F28" t="s">
        <v>104</v>
      </c>
      <c r="G28" s="5">
        <v>391930.76</v>
      </c>
      <c r="H28" s="5">
        <v>141</v>
      </c>
    </row>
    <row r="29" spans="1:8" x14ac:dyDescent="0.3">
      <c r="A29" t="s">
        <v>59</v>
      </c>
      <c r="B29" s="5">
        <v>9674.24</v>
      </c>
      <c r="C29" s="5">
        <v>15</v>
      </c>
      <c r="F29" t="s">
        <v>270</v>
      </c>
      <c r="G29" s="5">
        <v>120941.69</v>
      </c>
      <c r="H29" s="5">
        <v>282</v>
      </c>
    </row>
    <row r="30" spans="1:8" x14ac:dyDescent="0.3">
      <c r="A30" t="s">
        <v>190</v>
      </c>
      <c r="B30" s="5">
        <v>184185.2</v>
      </c>
      <c r="C30" s="5">
        <v>222</v>
      </c>
      <c r="F30" t="s">
        <v>269</v>
      </c>
      <c r="G30" s="5">
        <v>83915</v>
      </c>
      <c r="H30" s="5">
        <v>89</v>
      </c>
    </row>
    <row r="31" spans="1:8" x14ac:dyDescent="0.3">
      <c r="A31" t="s">
        <v>56</v>
      </c>
      <c r="B31" s="5">
        <v>69704.34</v>
      </c>
      <c r="C31" s="5">
        <v>51</v>
      </c>
      <c r="F31" t="s">
        <v>118</v>
      </c>
      <c r="G31" s="5">
        <v>89642.459999999992</v>
      </c>
      <c r="H31" s="5">
        <v>139</v>
      </c>
    </row>
    <row r="32" spans="1:8" x14ac:dyDescent="0.3">
      <c r="A32" t="s">
        <v>182</v>
      </c>
      <c r="B32" s="5">
        <v>166857.10999999999</v>
      </c>
      <c r="C32" s="5">
        <v>197</v>
      </c>
      <c r="F32" t="s">
        <v>199</v>
      </c>
      <c r="G32" s="5">
        <v>184505.92</v>
      </c>
      <c r="H32" s="5">
        <v>263</v>
      </c>
    </row>
    <row r="33" spans="1:8" x14ac:dyDescent="0.3">
      <c r="A33" t="s">
        <v>66</v>
      </c>
      <c r="B33" s="5">
        <v>12674.25</v>
      </c>
      <c r="C33" s="5">
        <v>15</v>
      </c>
      <c r="F33" t="s">
        <v>59</v>
      </c>
      <c r="G33" s="5">
        <v>85058.819999999992</v>
      </c>
      <c r="H33" s="5">
        <v>96</v>
      </c>
    </row>
    <row r="34" spans="1:8" x14ac:dyDescent="0.3">
      <c r="A34" t="s">
        <v>209</v>
      </c>
      <c r="B34" s="5">
        <v>750</v>
      </c>
      <c r="C34" s="5">
        <v>2</v>
      </c>
      <c r="F34" t="s">
        <v>190</v>
      </c>
      <c r="G34" s="5">
        <v>241353.97</v>
      </c>
      <c r="H34" s="5">
        <v>178</v>
      </c>
    </row>
    <row r="35" spans="1:8" x14ac:dyDescent="0.3">
      <c r="A35" t="s">
        <v>196</v>
      </c>
      <c r="B35" s="5">
        <v>99463.25</v>
      </c>
      <c r="C35" s="5">
        <v>144</v>
      </c>
      <c r="F35" t="s">
        <v>56</v>
      </c>
      <c r="G35" s="5">
        <v>100269.98</v>
      </c>
      <c r="H35" s="5">
        <v>49</v>
      </c>
    </row>
    <row r="36" spans="1:8" x14ac:dyDescent="0.3">
      <c r="A36" t="s">
        <v>116</v>
      </c>
      <c r="B36" s="5">
        <v>177929.87</v>
      </c>
      <c r="C36" s="5">
        <v>163</v>
      </c>
      <c r="F36" t="s">
        <v>182</v>
      </c>
      <c r="G36" s="5">
        <v>96969.78</v>
      </c>
      <c r="H36" s="5">
        <v>129</v>
      </c>
    </row>
    <row r="37" spans="1:8" x14ac:dyDescent="0.3">
      <c r="A37" t="s">
        <v>93</v>
      </c>
      <c r="B37" s="5">
        <v>67014.5</v>
      </c>
      <c r="C37" s="5">
        <v>59</v>
      </c>
      <c r="F37" t="s">
        <v>66</v>
      </c>
      <c r="G37" s="5">
        <v>203948.1</v>
      </c>
      <c r="H37" s="5">
        <v>196</v>
      </c>
    </row>
    <row r="38" spans="1:8" x14ac:dyDescent="0.3">
      <c r="A38" t="s">
        <v>208</v>
      </c>
      <c r="B38" s="5">
        <v>15</v>
      </c>
      <c r="C38" s="5">
        <v>2</v>
      </c>
      <c r="F38" t="s">
        <v>206</v>
      </c>
      <c r="G38" s="5">
        <v>79570.95</v>
      </c>
      <c r="H38" s="5">
        <v>125</v>
      </c>
    </row>
    <row r="39" spans="1:8" x14ac:dyDescent="0.3">
      <c r="A39" t="s">
        <v>98</v>
      </c>
      <c r="B39" s="5">
        <v>88568</v>
      </c>
      <c r="C39" s="5">
        <v>62</v>
      </c>
      <c r="F39" t="s">
        <v>54</v>
      </c>
      <c r="G39" s="5">
        <v>327224.26</v>
      </c>
      <c r="H39" s="5">
        <v>235</v>
      </c>
    </row>
    <row r="40" spans="1:8" x14ac:dyDescent="0.3">
      <c r="A40" t="s">
        <v>204</v>
      </c>
      <c r="B40" s="5">
        <v>41729.129999999997</v>
      </c>
      <c r="C40" s="5">
        <v>65</v>
      </c>
      <c r="F40" t="s">
        <v>209</v>
      </c>
      <c r="G40" s="5">
        <v>73427.180000000008</v>
      </c>
      <c r="H40" s="5">
        <v>108</v>
      </c>
    </row>
    <row r="41" spans="1:8" x14ac:dyDescent="0.3">
      <c r="A41" t="s">
        <v>214</v>
      </c>
      <c r="B41" s="5">
        <v>158202.35</v>
      </c>
      <c r="C41" s="5">
        <v>187</v>
      </c>
      <c r="F41" t="s">
        <v>268</v>
      </c>
      <c r="G41" s="5">
        <v>158098</v>
      </c>
      <c r="H41" s="5">
        <v>63</v>
      </c>
    </row>
    <row r="42" spans="1:8" x14ac:dyDescent="0.3">
      <c r="A42" t="s">
        <v>102</v>
      </c>
      <c r="B42" s="5">
        <v>97977.510000000009</v>
      </c>
      <c r="C42" s="5">
        <v>99</v>
      </c>
      <c r="F42" t="s">
        <v>116</v>
      </c>
      <c r="G42" s="5">
        <v>236558.61</v>
      </c>
      <c r="H42" s="5">
        <v>263</v>
      </c>
    </row>
    <row r="43" spans="1:8" x14ac:dyDescent="0.3">
      <c r="A43" t="s">
        <v>285</v>
      </c>
      <c r="B43" s="5">
        <v>12381.43</v>
      </c>
      <c r="C43" s="5">
        <v>33</v>
      </c>
      <c r="F43" t="s">
        <v>70</v>
      </c>
      <c r="G43" s="5">
        <v>82529.990000000005</v>
      </c>
      <c r="H43" s="5">
        <v>122</v>
      </c>
    </row>
    <row r="44" spans="1:8" x14ac:dyDescent="0.3">
      <c r="A44" t="s">
        <v>111</v>
      </c>
      <c r="B44" s="5">
        <v>42068.85</v>
      </c>
      <c r="C44" s="5">
        <v>45</v>
      </c>
      <c r="F44" t="s">
        <v>83</v>
      </c>
      <c r="G44" s="5">
        <v>94026.08</v>
      </c>
      <c r="H44" s="5">
        <v>124</v>
      </c>
    </row>
    <row r="45" spans="1:8" x14ac:dyDescent="0.3">
      <c r="A45" t="s">
        <v>179</v>
      </c>
      <c r="B45" s="5">
        <v>66203.88</v>
      </c>
      <c r="C45" s="5">
        <v>145</v>
      </c>
      <c r="F45" t="s">
        <v>96</v>
      </c>
      <c r="G45" s="5">
        <v>62595.12</v>
      </c>
      <c r="H45" s="5">
        <v>92</v>
      </c>
    </row>
    <row r="46" spans="1:8" x14ac:dyDescent="0.3">
      <c r="A46" t="s">
        <v>185</v>
      </c>
      <c r="B46" s="5">
        <v>161338.92000000001</v>
      </c>
      <c r="C46" s="5">
        <v>90</v>
      </c>
      <c r="F46" t="s">
        <v>181</v>
      </c>
      <c r="G46" s="5">
        <v>289653.20000000013</v>
      </c>
      <c r="H46" s="5">
        <v>238</v>
      </c>
    </row>
    <row r="47" spans="1:8" x14ac:dyDescent="0.3">
      <c r="A47" t="s">
        <v>213</v>
      </c>
      <c r="B47" s="5">
        <v>505148.59</v>
      </c>
      <c r="C47" s="5">
        <v>574</v>
      </c>
      <c r="F47" t="s">
        <v>91</v>
      </c>
      <c r="G47" s="5">
        <v>54203</v>
      </c>
      <c r="H47" s="5">
        <v>103</v>
      </c>
    </row>
    <row r="48" spans="1:8" x14ac:dyDescent="0.3">
      <c r="A48" t="s">
        <v>110</v>
      </c>
      <c r="B48" s="5">
        <v>97529.29</v>
      </c>
      <c r="C48" s="5">
        <v>60</v>
      </c>
      <c r="F48" t="s">
        <v>267</v>
      </c>
      <c r="G48" s="5">
        <v>169757.8</v>
      </c>
      <c r="H48" s="5">
        <v>81</v>
      </c>
    </row>
    <row r="49" spans="1:8" x14ac:dyDescent="0.3">
      <c r="A49" t="s">
        <v>120</v>
      </c>
      <c r="B49" s="5">
        <v>76649.600000000006</v>
      </c>
      <c r="C49" s="5">
        <v>149</v>
      </c>
      <c r="F49" t="s">
        <v>186</v>
      </c>
      <c r="G49" s="5">
        <v>60623.4</v>
      </c>
      <c r="H49" s="5">
        <v>103</v>
      </c>
    </row>
    <row r="50" spans="1:8" x14ac:dyDescent="0.3">
      <c r="A50" t="s">
        <v>119</v>
      </c>
      <c r="B50" s="5">
        <v>177929.87</v>
      </c>
      <c r="C50" s="5">
        <v>163</v>
      </c>
      <c r="F50" t="s">
        <v>208</v>
      </c>
      <c r="G50" s="5">
        <v>77089.440000000002</v>
      </c>
      <c r="H50" s="5">
        <v>93</v>
      </c>
    </row>
    <row r="51" spans="1:8" x14ac:dyDescent="0.3">
      <c r="A51" t="s">
        <v>180</v>
      </c>
      <c r="B51" s="5">
        <v>45778</v>
      </c>
      <c r="C51" s="5">
        <v>58</v>
      </c>
      <c r="F51" t="s">
        <v>113</v>
      </c>
      <c r="G51" s="5">
        <v>65033.599999999999</v>
      </c>
      <c r="H51" s="5">
        <v>122</v>
      </c>
    </row>
    <row r="52" spans="1:8" x14ac:dyDescent="0.3">
      <c r="A52" t="s">
        <v>71</v>
      </c>
      <c r="B52" s="5">
        <v>44082.77</v>
      </c>
      <c r="C52" s="5">
        <v>47</v>
      </c>
      <c r="F52" t="s">
        <v>266</v>
      </c>
      <c r="G52" s="5">
        <v>33130</v>
      </c>
      <c r="H52" s="5">
        <v>63</v>
      </c>
    </row>
    <row r="53" spans="1:8" x14ac:dyDescent="0.3">
      <c r="A53" t="s">
        <v>284</v>
      </c>
      <c r="B53" s="5">
        <v>122730.58</v>
      </c>
      <c r="C53" s="5">
        <v>91</v>
      </c>
      <c r="F53" t="s">
        <v>204</v>
      </c>
      <c r="G53" s="5">
        <v>293937.53999999998</v>
      </c>
      <c r="H53" s="5">
        <v>137</v>
      </c>
    </row>
    <row r="54" spans="1:8" x14ac:dyDescent="0.3">
      <c r="A54" t="s">
        <v>283</v>
      </c>
      <c r="B54" s="5">
        <v>141996.29999999999</v>
      </c>
      <c r="C54" s="5">
        <v>75</v>
      </c>
      <c r="F54" t="s">
        <v>214</v>
      </c>
      <c r="G54" s="5">
        <v>243722.31</v>
      </c>
      <c r="H54" s="5">
        <v>294</v>
      </c>
    </row>
    <row r="55" spans="1:8" x14ac:dyDescent="0.3">
      <c r="A55" t="s">
        <v>100</v>
      </c>
      <c r="B55" s="5">
        <v>235749.65000000011</v>
      </c>
      <c r="C55" s="5">
        <v>112</v>
      </c>
      <c r="F55" t="s">
        <v>187</v>
      </c>
      <c r="G55" s="5">
        <v>34615.589999999997</v>
      </c>
      <c r="H55" s="5">
        <v>77</v>
      </c>
    </row>
    <row r="56" spans="1:8" x14ac:dyDescent="0.3">
      <c r="A56" t="s">
        <v>177</v>
      </c>
      <c r="B56" s="5">
        <v>11304.99</v>
      </c>
      <c r="C56" s="5">
        <v>18</v>
      </c>
      <c r="F56" t="s">
        <v>81</v>
      </c>
      <c r="G56" s="5">
        <v>51617.53</v>
      </c>
      <c r="H56" s="5">
        <v>65</v>
      </c>
    </row>
    <row r="57" spans="1:8" x14ac:dyDescent="0.3">
      <c r="A57" t="s">
        <v>207</v>
      </c>
      <c r="B57" s="5">
        <v>60263.19</v>
      </c>
      <c r="C57" s="5">
        <v>32</v>
      </c>
      <c r="F57" t="s">
        <v>97</v>
      </c>
      <c r="G57" s="5">
        <v>53342.38</v>
      </c>
      <c r="H57" s="5">
        <v>54</v>
      </c>
    </row>
    <row r="58" spans="1:8" x14ac:dyDescent="0.3">
      <c r="B58" s="35">
        <f>SUM(B2:B57)</f>
        <v>7019391.6499999985</v>
      </c>
      <c r="C58" s="34">
        <f>SUM(C2:C57)</f>
        <v>7403</v>
      </c>
      <c r="F58" t="s">
        <v>58</v>
      </c>
      <c r="G58" s="5">
        <v>38756.5</v>
      </c>
      <c r="H58" s="5">
        <v>50</v>
      </c>
    </row>
    <row r="59" spans="1:8" x14ac:dyDescent="0.3">
      <c r="F59" t="s">
        <v>68</v>
      </c>
      <c r="G59" s="5">
        <v>40745.129999999997</v>
      </c>
      <c r="H59" s="5">
        <v>30</v>
      </c>
    </row>
    <row r="60" spans="1:8" x14ac:dyDescent="0.3">
      <c r="F60" t="s">
        <v>102</v>
      </c>
      <c r="G60" s="5">
        <v>169913.97</v>
      </c>
      <c r="H60" s="5">
        <v>127</v>
      </c>
    </row>
    <row r="61" spans="1:8" x14ac:dyDescent="0.3">
      <c r="F61" t="s">
        <v>106</v>
      </c>
      <c r="G61" s="5">
        <v>51803.25</v>
      </c>
      <c r="H61" s="5">
        <v>38</v>
      </c>
    </row>
    <row r="62" spans="1:8" x14ac:dyDescent="0.3">
      <c r="F62" t="s">
        <v>184</v>
      </c>
      <c r="G62" s="5">
        <v>34214.639999999999</v>
      </c>
      <c r="H62" s="5">
        <v>16</v>
      </c>
    </row>
    <row r="63" spans="1:8" x14ac:dyDescent="0.3">
      <c r="F63" t="s">
        <v>95</v>
      </c>
      <c r="G63" s="5">
        <v>105658.25</v>
      </c>
      <c r="H63" s="5">
        <v>123</v>
      </c>
    </row>
    <row r="64" spans="1:8" x14ac:dyDescent="0.3">
      <c r="F64" t="s">
        <v>85</v>
      </c>
      <c r="G64" s="5">
        <v>59573.68</v>
      </c>
      <c r="H64" s="5">
        <v>56</v>
      </c>
    </row>
    <row r="65" spans="6:8" x14ac:dyDescent="0.3">
      <c r="F65" t="s">
        <v>210</v>
      </c>
      <c r="G65" s="5">
        <v>17946.919999999998</v>
      </c>
      <c r="H65" s="5">
        <v>45</v>
      </c>
    </row>
    <row r="66" spans="6:8" x14ac:dyDescent="0.3">
      <c r="F66" t="s">
        <v>111</v>
      </c>
      <c r="G66" s="5">
        <v>198650.66</v>
      </c>
      <c r="H66" s="5">
        <v>98</v>
      </c>
    </row>
    <row r="67" spans="6:8" x14ac:dyDescent="0.3">
      <c r="F67" t="s">
        <v>189</v>
      </c>
      <c r="G67" s="5">
        <v>13890.44</v>
      </c>
      <c r="H67" s="5">
        <v>17</v>
      </c>
    </row>
    <row r="68" spans="6:8" x14ac:dyDescent="0.3">
      <c r="F68" t="s">
        <v>179</v>
      </c>
      <c r="G68" s="5">
        <v>21126.28</v>
      </c>
      <c r="H68" s="5">
        <v>48</v>
      </c>
    </row>
    <row r="69" spans="6:8" x14ac:dyDescent="0.3">
      <c r="F69" t="s">
        <v>213</v>
      </c>
      <c r="G69" s="5">
        <v>736551.99</v>
      </c>
      <c r="H69" s="5">
        <v>900</v>
      </c>
    </row>
    <row r="70" spans="6:8" x14ac:dyDescent="0.3">
      <c r="F70" t="s">
        <v>80</v>
      </c>
      <c r="G70" s="5">
        <v>8329.2999999999993</v>
      </c>
      <c r="H70" s="5">
        <v>18</v>
      </c>
    </row>
    <row r="71" spans="6:8" x14ac:dyDescent="0.3">
      <c r="F71" t="s">
        <v>110</v>
      </c>
      <c r="G71" s="5">
        <v>69535.060000000012</v>
      </c>
      <c r="H71" s="5">
        <v>63</v>
      </c>
    </row>
    <row r="72" spans="6:8" x14ac:dyDescent="0.3">
      <c r="F72" t="s">
        <v>120</v>
      </c>
      <c r="G72" s="5">
        <v>160879.53</v>
      </c>
      <c r="H72" s="5">
        <v>211</v>
      </c>
    </row>
    <row r="73" spans="6:8" x14ac:dyDescent="0.3">
      <c r="F73" t="s">
        <v>119</v>
      </c>
      <c r="G73" s="5">
        <v>238133.61</v>
      </c>
      <c r="H73" s="5">
        <v>264</v>
      </c>
    </row>
    <row r="74" spans="6:8" x14ac:dyDescent="0.3">
      <c r="F74" t="s">
        <v>265</v>
      </c>
      <c r="G74" s="5">
        <v>10266</v>
      </c>
      <c r="H74" s="5">
        <v>13</v>
      </c>
    </row>
    <row r="75" spans="6:8" x14ac:dyDescent="0.3">
      <c r="F75" t="s">
        <v>180</v>
      </c>
      <c r="G75" s="5">
        <v>140482.35999999999</v>
      </c>
      <c r="H75" s="5">
        <v>109</v>
      </c>
    </row>
    <row r="76" spans="6:8" x14ac:dyDescent="0.3">
      <c r="F76" t="s">
        <v>84</v>
      </c>
      <c r="G76" s="5">
        <v>138643</v>
      </c>
      <c r="H76" s="5">
        <v>68</v>
      </c>
    </row>
    <row r="77" spans="6:8" x14ac:dyDescent="0.3">
      <c r="F77" t="s">
        <v>264</v>
      </c>
      <c r="G77" s="5">
        <v>17080.75</v>
      </c>
      <c r="H77" s="5">
        <v>35</v>
      </c>
    </row>
    <row r="78" spans="6:8" x14ac:dyDescent="0.3">
      <c r="F78" t="s">
        <v>211</v>
      </c>
      <c r="G78" s="5">
        <v>27580.52</v>
      </c>
      <c r="H78" s="5">
        <v>41</v>
      </c>
    </row>
    <row r="79" spans="6:8" x14ac:dyDescent="0.3">
      <c r="F79" t="s">
        <v>263</v>
      </c>
      <c r="G79" s="5">
        <v>1855.25</v>
      </c>
      <c r="H79" s="5">
        <v>8</v>
      </c>
    </row>
    <row r="80" spans="6:8" x14ac:dyDescent="0.3">
      <c r="F80" t="s">
        <v>67</v>
      </c>
      <c r="G80" s="5">
        <v>5.14</v>
      </c>
      <c r="H80" s="5">
        <v>2</v>
      </c>
    </row>
    <row r="81" spans="6:8" x14ac:dyDescent="0.3">
      <c r="F81" t="s">
        <v>262</v>
      </c>
      <c r="G81" s="5">
        <v>131072.82</v>
      </c>
      <c r="H81" s="5">
        <v>98</v>
      </c>
    </row>
    <row r="82" spans="6:8" x14ac:dyDescent="0.3">
      <c r="F82" t="s">
        <v>73</v>
      </c>
      <c r="G82" s="5">
        <v>12497.5</v>
      </c>
      <c r="H82" s="5">
        <v>10</v>
      </c>
    </row>
    <row r="83" spans="6:8" x14ac:dyDescent="0.3">
      <c r="F83" t="s">
        <v>261</v>
      </c>
      <c r="G83" s="5">
        <v>1</v>
      </c>
      <c r="H83" s="5">
        <v>2</v>
      </c>
    </row>
    <row r="84" spans="6:8" x14ac:dyDescent="0.3">
      <c r="F84" t="s">
        <v>260</v>
      </c>
      <c r="G84" s="5">
        <v>301.02999999999997</v>
      </c>
      <c r="H84" s="5">
        <v>3</v>
      </c>
    </row>
    <row r="85" spans="6:8" x14ac:dyDescent="0.3">
      <c r="F85" t="s">
        <v>100</v>
      </c>
      <c r="G85" s="5">
        <v>63114</v>
      </c>
      <c r="H85" s="5">
        <v>59</v>
      </c>
    </row>
    <row r="86" spans="6:8" x14ac:dyDescent="0.3">
      <c r="F86" t="s">
        <v>71</v>
      </c>
      <c r="G86" s="5">
        <v>47615.78</v>
      </c>
      <c r="H86" s="5">
        <v>45</v>
      </c>
    </row>
    <row r="87" spans="6:8" x14ac:dyDescent="0.3">
      <c r="G87" s="34">
        <f>SUM(G2:G86)</f>
        <v>16096354.389999995</v>
      </c>
      <c r="H87" s="34">
        <f>SUM(H2:H86)</f>
        <v>13948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2026_Locations</vt:lpstr>
      <vt:lpstr>1% impact</vt:lpstr>
      <vt:lpstr>2025 YTD Payments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Schwedt</dc:creator>
  <cp:lastModifiedBy>Jason Schwedt</cp:lastModifiedBy>
  <dcterms:created xsi:type="dcterms:W3CDTF">2025-11-16T01:03:59Z</dcterms:created>
  <dcterms:modified xsi:type="dcterms:W3CDTF">2025-11-29T17:00:01Z</dcterms:modified>
</cp:coreProperties>
</file>